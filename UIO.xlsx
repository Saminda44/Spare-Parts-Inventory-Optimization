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ndam\Desktop\"/>
    </mc:Choice>
  </mc:AlternateContent>
  <xr:revisionPtr revIDLastSave="0" documentId="13_ncr:1_{5F0AF381-C2F3-41FE-AC4F-256E02ACDB90}" xr6:coauthVersionLast="47" xr6:coauthVersionMax="47" xr10:uidLastSave="{00000000-0000-0000-0000-000000000000}"/>
  <bookViews>
    <workbookView xWindow="-110" yWindow="-110" windowWidth="19420" windowHeight="10300" xr2:uid="{FAAFF532-DA73-4282-84DF-CD71802ED091}"/>
  </bookViews>
  <sheets>
    <sheet name="Sheet1" sheetId="1" r:id="rId1"/>
    <sheet name="Sheet2" sheetId="3" r:id="rId2"/>
    <sheet name="Sheet3" sheetId="4" r:id="rId3"/>
  </sheets>
  <externalReferences>
    <externalReference r:id="rId4"/>
  </externalReferences>
  <definedNames>
    <definedName name="_xlnm._FilterDatabase" localSheetId="0" hidden="1">Sheet1!$A$1:$V$57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2" i="1"/>
  <c r="T57" i="3"/>
  <c r="V57" i="3" s="1"/>
  <c r="S57" i="3"/>
  <c r="Q57" i="3"/>
  <c r="O57" i="3"/>
  <c r="M57" i="3"/>
  <c r="K57" i="3"/>
  <c r="I57" i="3"/>
  <c r="G57" i="3"/>
  <c r="E57" i="3"/>
  <c r="C57" i="3"/>
  <c r="V56" i="3"/>
  <c r="U56" i="3"/>
  <c r="T56" i="3"/>
  <c r="S56" i="3"/>
  <c r="Q56" i="3"/>
  <c r="O56" i="3"/>
  <c r="M56" i="3"/>
  <c r="K56" i="3"/>
  <c r="I56" i="3"/>
  <c r="G56" i="3"/>
  <c r="E56" i="3"/>
  <c r="C56" i="3"/>
  <c r="W56" i="3" s="1"/>
  <c r="V55" i="3"/>
  <c r="T55" i="3"/>
  <c r="U55" i="3" s="1"/>
  <c r="S55" i="3"/>
  <c r="Q55" i="3"/>
  <c r="O55" i="3"/>
  <c r="M55" i="3"/>
  <c r="K55" i="3"/>
  <c r="I55" i="3"/>
  <c r="G55" i="3"/>
  <c r="E55" i="3"/>
  <c r="C55" i="3"/>
  <c r="V54" i="3"/>
  <c r="T54" i="3"/>
  <c r="U54" i="3" s="1"/>
  <c r="S54" i="3"/>
  <c r="Q54" i="3"/>
  <c r="O54" i="3"/>
  <c r="M54" i="3"/>
  <c r="K54" i="3"/>
  <c r="I54" i="3"/>
  <c r="G54" i="3"/>
  <c r="E54" i="3"/>
  <c r="C54" i="3"/>
  <c r="T53" i="3"/>
  <c r="V53" i="3" s="1"/>
  <c r="S53" i="3"/>
  <c r="Q53" i="3"/>
  <c r="O53" i="3"/>
  <c r="M53" i="3"/>
  <c r="K53" i="3"/>
  <c r="I53" i="3"/>
  <c r="G53" i="3"/>
  <c r="E53" i="3"/>
  <c r="C53" i="3"/>
  <c r="T52" i="3"/>
  <c r="V52" i="3" s="1"/>
  <c r="S52" i="3"/>
  <c r="Q52" i="3"/>
  <c r="O52" i="3"/>
  <c r="M52" i="3"/>
  <c r="K52" i="3"/>
  <c r="I52" i="3"/>
  <c r="G52" i="3"/>
  <c r="E52" i="3"/>
  <c r="C52" i="3"/>
  <c r="T51" i="3"/>
  <c r="U51" i="3" s="1"/>
  <c r="S51" i="3"/>
  <c r="Q51" i="3"/>
  <c r="O51" i="3"/>
  <c r="M51" i="3"/>
  <c r="K51" i="3"/>
  <c r="I51" i="3"/>
  <c r="G51" i="3"/>
  <c r="E51" i="3"/>
  <c r="C51" i="3"/>
  <c r="W51" i="3" s="1"/>
  <c r="U50" i="3"/>
  <c r="R50" i="3"/>
  <c r="V50" i="3" s="1"/>
  <c r="Q50" i="3"/>
  <c r="O50" i="3"/>
  <c r="M50" i="3"/>
  <c r="K50" i="3"/>
  <c r="I50" i="3"/>
  <c r="G50" i="3"/>
  <c r="E50" i="3"/>
  <c r="C50" i="3"/>
  <c r="V49" i="3"/>
  <c r="U49" i="3"/>
  <c r="S49" i="3"/>
  <c r="Q49" i="3"/>
  <c r="P49" i="3"/>
  <c r="O49" i="3"/>
  <c r="M49" i="3"/>
  <c r="K49" i="3"/>
  <c r="I49" i="3"/>
  <c r="G49" i="3"/>
  <c r="E49" i="3"/>
  <c r="C49" i="3"/>
  <c r="W49" i="3" s="1"/>
  <c r="V48" i="3"/>
  <c r="U48" i="3"/>
  <c r="S48" i="3"/>
  <c r="R48" i="3"/>
  <c r="Q48" i="3"/>
  <c r="P48" i="3"/>
  <c r="O48" i="3"/>
  <c r="M48" i="3"/>
  <c r="K48" i="3"/>
  <c r="I48" i="3"/>
  <c r="G48" i="3"/>
  <c r="E48" i="3"/>
  <c r="C48" i="3"/>
  <c r="W48" i="3" s="1"/>
  <c r="V47" i="3"/>
  <c r="U47" i="3"/>
  <c r="S47" i="3"/>
  <c r="R47" i="3"/>
  <c r="Q47" i="3"/>
  <c r="P47" i="3"/>
  <c r="O47" i="3"/>
  <c r="M47" i="3"/>
  <c r="K47" i="3"/>
  <c r="I47" i="3"/>
  <c r="G47" i="3"/>
  <c r="E47" i="3"/>
  <c r="C47" i="3"/>
  <c r="W47" i="3" s="1"/>
  <c r="U46" i="3"/>
  <c r="S46" i="3"/>
  <c r="P46" i="3"/>
  <c r="Q46" i="3" s="1"/>
  <c r="N46" i="3"/>
  <c r="V46" i="3" s="1"/>
  <c r="M46" i="3"/>
  <c r="K46" i="3"/>
  <c r="I46" i="3"/>
  <c r="G46" i="3"/>
  <c r="E46" i="3"/>
  <c r="C46" i="3"/>
  <c r="U45" i="3"/>
  <c r="R45" i="3"/>
  <c r="S45" i="3" s="1"/>
  <c r="P45" i="3"/>
  <c r="Q45" i="3" s="1"/>
  <c r="N45" i="3"/>
  <c r="V45" i="3" s="1"/>
  <c r="M45" i="3"/>
  <c r="K45" i="3"/>
  <c r="I45" i="3"/>
  <c r="G45" i="3"/>
  <c r="E45" i="3"/>
  <c r="C45" i="3"/>
  <c r="T44" i="3"/>
  <c r="U44" i="3" s="1"/>
  <c r="R44" i="3"/>
  <c r="S44" i="3" s="1"/>
  <c r="Q44" i="3"/>
  <c r="P44" i="3"/>
  <c r="O44" i="3"/>
  <c r="N44" i="3"/>
  <c r="M44" i="3"/>
  <c r="K44" i="3"/>
  <c r="I44" i="3"/>
  <c r="G44" i="3"/>
  <c r="E44" i="3"/>
  <c r="C44" i="3"/>
  <c r="V43" i="3"/>
  <c r="U43" i="3"/>
  <c r="S43" i="3"/>
  <c r="Q43" i="3"/>
  <c r="P43" i="3"/>
  <c r="O43" i="3"/>
  <c r="N43" i="3"/>
  <c r="M43" i="3"/>
  <c r="K43" i="3"/>
  <c r="I43" i="3"/>
  <c r="G43" i="3"/>
  <c r="E43" i="3"/>
  <c r="C43" i="3"/>
  <c r="W43" i="3" s="1"/>
  <c r="U42" i="3"/>
  <c r="S42" i="3"/>
  <c r="Q42" i="3"/>
  <c r="P42" i="3"/>
  <c r="N42" i="3"/>
  <c r="V42" i="3" s="1"/>
  <c r="M42" i="3"/>
  <c r="K42" i="3"/>
  <c r="I42" i="3"/>
  <c r="G42" i="3"/>
  <c r="E42" i="3"/>
  <c r="C42" i="3"/>
  <c r="U41" i="3"/>
  <c r="R41" i="3"/>
  <c r="S41" i="3" s="1"/>
  <c r="P41" i="3"/>
  <c r="Q41" i="3" s="1"/>
  <c r="N41" i="3"/>
  <c r="O41" i="3" s="1"/>
  <c r="L41" i="3"/>
  <c r="M41" i="3" s="1"/>
  <c r="K41" i="3"/>
  <c r="I41" i="3"/>
  <c r="G41" i="3"/>
  <c r="E41" i="3"/>
  <c r="C41" i="3"/>
  <c r="U40" i="3"/>
  <c r="R40" i="3"/>
  <c r="S40" i="3" s="1"/>
  <c r="P40" i="3"/>
  <c r="V40" i="3" s="1"/>
  <c r="N40" i="3"/>
  <c r="O40" i="3" s="1"/>
  <c r="L40" i="3"/>
  <c r="M40" i="3" s="1"/>
  <c r="K40" i="3"/>
  <c r="I40" i="3"/>
  <c r="G40" i="3"/>
  <c r="E40" i="3"/>
  <c r="C40" i="3"/>
  <c r="V39" i="3"/>
  <c r="U39" i="3"/>
  <c r="R39" i="3"/>
  <c r="S39" i="3" s="1"/>
  <c r="Q39" i="3"/>
  <c r="O39" i="3"/>
  <c r="N39" i="3"/>
  <c r="L39" i="3"/>
  <c r="M39" i="3" s="1"/>
  <c r="K39" i="3"/>
  <c r="I39" i="3"/>
  <c r="G39" i="3"/>
  <c r="E39" i="3"/>
  <c r="C39" i="3"/>
  <c r="U38" i="3"/>
  <c r="S38" i="3"/>
  <c r="Q38" i="3"/>
  <c r="O38" i="3"/>
  <c r="L38" i="3"/>
  <c r="V38" i="3" s="1"/>
  <c r="K38" i="3"/>
  <c r="I38" i="3"/>
  <c r="G38" i="3"/>
  <c r="E38" i="3"/>
  <c r="C38" i="3"/>
  <c r="U37" i="3"/>
  <c r="R37" i="3"/>
  <c r="S37" i="3" s="1"/>
  <c r="P37" i="3"/>
  <c r="Q37" i="3" s="1"/>
  <c r="N37" i="3"/>
  <c r="O37" i="3" s="1"/>
  <c r="L37" i="3"/>
  <c r="M37" i="3" s="1"/>
  <c r="J37" i="3"/>
  <c r="K37" i="3" s="1"/>
  <c r="I37" i="3"/>
  <c r="G37" i="3"/>
  <c r="W37" i="3" s="1"/>
  <c r="E37" i="3"/>
  <c r="C37" i="3"/>
  <c r="U36" i="3"/>
  <c r="R36" i="3"/>
  <c r="V36" i="3" s="1"/>
  <c r="Q36" i="3"/>
  <c r="P36" i="3"/>
  <c r="O36" i="3"/>
  <c r="N36" i="3"/>
  <c r="M36" i="3"/>
  <c r="L36" i="3"/>
  <c r="J36" i="3"/>
  <c r="K36" i="3" s="1"/>
  <c r="I36" i="3"/>
  <c r="G36" i="3"/>
  <c r="E36" i="3"/>
  <c r="C36" i="3"/>
  <c r="U35" i="3"/>
  <c r="R35" i="3"/>
  <c r="S35" i="3" s="1"/>
  <c r="P35" i="3"/>
  <c r="Q35" i="3" s="1"/>
  <c r="N35" i="3"/>
  <c r="O35" i="3" s="1"/>
  <c r="L35" i="3"/>
  <c r="M35" i="3" s="1"/>
  <c r="J35" i="3"/>
  <c r="V35" i="3" s="1"/>
  <c r="I35" i="3"/>
  <c r="G35" i="3"/>
  <c r="E35" i="3"/>
  <c r="C35" i="3"/>
  <c r="U34" i="3"/>
  <c r="R34" i="3"/>
  <c r="S34" i="3" s="1"/>
  <c r="P34" i="3"/>
  <c r="Q34" i="3" s="1"/>
  <c r="O34" i="3"/>
  <c r="N34" i="3"/>
  <c r="M34" i="3"/>
  <c r="L34" i="3"/>
  <c r="K34" i="3"/>
  <c r="J34" i="3"/>
  <c r="I34" i="3"/>
  <c r="G34" i="3"/>
  <c r="E34" i="3"/>
  <c r="C34" i="3"/>
  <c r="V33" i="3"/>
  <c r="U33" i="3"/>
  <c r="S33" i="3"/>
  <c r="Q33" i="3"/>
  <c r="P33" i="3"/>
  <c r="O33" i="3"/>
  <c r="N33" i="3"/>
  <c r="L33" i="3"/>
  <c r="M33" i="3" s="1"/>
  <c r="J33" i="3"/>
  <c r="K33" i="3" s="1"/>
  <c r="I33" i="3"/>
  <c r="G33" i="3"/>
  <c r="E33" i="3"/>
  <c r="C33" i="3"/>
  <c r="U32" i="3"/>
  <c r="S32" i="3"/>
  <c r="P32" i="3"/>
  <c r="Q32" i="3" s="1"/>
  <c r="N32" i="3"/>
  <c r="O32" i="3" s="1"/>
  <c r="M32" i="3"/>
  <c r="J32" i="3"/>
  <c r="K32" i="3" s="1"/>
  <c r="I32" i="3"/>
  <c r="G32" i="3"/>
  <c r="W32" i="3" s="1"/>
  <c r="E32" i="3"/>
  <c r="C32" i="3"/>
  <c r="U31" i="3"/>
  <c r="R31" i="3"/>
  <c r="S31" i="3" s="1"/>
  <c r="P31" i="3"/>
  <c r="Q31" i="3" s="1"/>
  <c r="O31" i="3"/>
  <c r="N31" i="3"/>
  <c r="M31" i="3"/>
  <c r="L31" i="3"/>
  <c r="K31" i="3"/>
  <c r="J31" i="3"/>
  <c r="I31" i="3"/>
  <c r="G31" i="3"/>
  <c r="E31" i="3"/>
  <c r="C31" i="3"/>
  <c r="V30" i="3"/>
  <c r="U30" i="3"/>
  <c r="R30" i="3"/>
  <c r="S30" i="3" s="1"/>
  <c r="P30" i="3"/>
  <c r="Q30" i="3" s="1"/>
  <c r="N30" i="3"/>
  <c r="O30" i="3" s="1"/>
  <c r="L30" i="3"/>
  <c r="M30" i="3" s="1"/>
  <c r="J30" i="3"/>
  <c r="K30" i="3" s="1"/>
  <c r="I30" i="3"/>
  <c r="G30" i="3"/>
  <c r="W30" i="3" s="1"/>
  <c r="E30" i="3"/>
  <c r="C30" i="3"/>
  <c r="U29" i="3"/>
  <c r="R29" i="3"/>
  <c r="S29" i="3" s="1"/>
  <c r="P29" i="3"/>
  <c r="Q29" i="3" s="1"/>
  <c r="N29" i="3"/>
  <c r="O29" i="3" s="1"/>
  <c r="M29" i="3"/>
  <c r="L29" i="3"/>
  <c r="K29" i="3"/>
  <c r="J29" i="3"/>
  <c r="I29" i="3"/>
  <c r="G29" i="3"/>
  <c r="E29" i="3"/>
  <c r="C29" i="3"/>
  <c r="V28" i="3"/>
  <c r="U28" i="3"/>
  <c r="S28" i="3"/>
  <c r="Q28" i="3"/>
  <c r="P28" i="3"/>
  <c r="O28" i="3"/>
  <c r="N28" i="3"/>
  <c r="M28" i="3"/>
  <c r="L28" i="3"/>
  <c r="J28" i="3"/>
  <c r="K28" i="3" s="1"/>
  <c r="I28" i="3"/>
  <c r="G28" i="3"/>
  <c r="E28" i="3"/>
  <c r="C28" i="3"/>
  <c r="U27" i="3"/>
  <c r="R27" i="3"/>
  <c r="S27" i="3" s="1"/>
  <c r="P27" i="3"/>
  <c r="Q27" i="3" s="1"/>
  <c r="N27" i="3"/>
  <c r="O27" i="3" s="1"/>
  <c r="L27" i="3"/>
  <c r="M27" i="3" s="1"/>
  <c r="J27" i="3"/>
  <c r="V27" i="3" s="1"/>
  <c r="I27" i="3"/>
  <c r="G27" i="3"/>
  <c r="E27" i="3"/>
  <c r="C27" i="3"/>
  <c r="V26" i="3"/>
  <c r="U26" i="3"/>
  <c r="S26" i="3"/>
  <c r="Q26" i="3"/>
  <c r="O26" i="3"/>
  <c r="M26" i="3"/>
  <c r="K26" i="3"/>
  <c r="J26" i="3"/>
  <c r="I26" i="3"/>
  <c r="G26" i="3"/>
  <c r="E26" i="3"/>
  <c r="C26" i="3"/>
  <c r="W26" i="3" s="1"/>
  <c r="V25" i="3"/>
  <c r="U25" i="3"/>
  <c r="S25" i="3"/>
  <c r="Q25" i="3"/>
  <c r="O25" i="3"/>
  <c r="M25" i="3"/>
  <c r="K25" i="3"/>
  <c r="I25" i="3"/>
  <c r="H25" i="3"/>
  <c r="G25" i="3"/>
  <c r="E25" i="3"/>
  <c r="C25" i="3"/>
  <c r="W25" i="3" s="1"/>
  <c r="V24" i="3"/>
  <c r="U24" i="3"/>
  <c r="S24" i="3"/>
  <c r="Q24" i="3"/>
  <c r="O24" i="3"/>
  <c r="M24" i="3"/>
  <c r="K24" i="3"/>
  <c r="H24" i="3"/>
  <c r="I24" i="3" s="1"/>
  <c r="G24" i="3"/>
  <c r="E24" i="3"/>
  <c r="C24" i="3"/>
  <c r="W24" i="3" s="1"/>
  <c r="U23" i="3"/>
  <c r="S23" i="3"/>
  <c r="Q23" i="3"/>
  <c r="O23" i="3"/>
  <c r="M23" i="3"/>
  <c r="K23" i="3"/>
  <c r="H23" i="3"/>
  <c r="I23" i="3" s="1"/>
  <c r="G23" i="3"/>
  <c r="E23" i="3"/>
  <c r="C23" i="3"/>
  <c r="V22" i="3"/>
  <c r="U22" i="3"/>
  <c r="S22" i="3"/>
  <c r="Q22" i="3"/>
  <c r="O22" i="3"/>
  <c r="M22" i="3"/>
  <c r="K22" i="3"/>
  <c r="H22" i="3"/>
  <c r="I22" i="3" s="1"/>
  <c r="G22" i="3"/>
  <c r="E22" i="3"/>
  <c r="C22" i="3"/>
  <c r="W22" i="3" s="1"/>
  <c r="U21" i="3"/>
  <c r="S21" i="3"/>
  <c r="Q21" i="3"/>
  <c r="O21" i="3"/>
  <c r="M21" i="3"/>
  <c r="K21" i="3"/>
  <c r="H21" i="3"/>
  <c r="I21" i="3" s="1"/>
  <c r="F21" i="3"/>
  <c r="G21" i="3" s="1"/>
  <c r="E21" i="3"/>
  <c r="C21" i="3"/>
  <c r="U20" i="3"/>
  <c r="S20" i="3"/>
  <c r="Q20" i="3"/>
  <c r="O20" i="3"/>
  <c r="M20" i="3"/>
  <c r="K20" i="3"/>
  <c r="H20" i="3"/>
  <c r="I20" i="3" s="1"/>
  <c r="F20" i="3"/>
  <c r="V20" i="3" s="1"/>
  <c r="E20" i="3"/>
  <c r="C20" i="3"/>
  <c r="U19" i="3"/>
  <c r="S19" i="3"/>
  <c r="Q19" i="3"/>
  <c r="O19" i="3"/>
  <c r="M19" i="3"/>
  <c r="K19" i="3"/>
  <c r="H19" i="3"/>
  <c r="I19" i="3" s="1"/>
  <c r="G19" i="3"/>
  <c r="F19" i="3"/>
  <c r="V19" i="3" s="1"/>
  <c r="E19" i="3"/>
  <c r="W19" i="3" s="1"/>
  <c r="C19" i="3"/>
  <c r="V18" i="3"/>
  <c r="U18" i="3"/>
  <c r="S18" i="3"/>
  <c r="Q18" i="3"/>
  <c r="O18" i="3"/>
  <c r="M18" i="3"/>
  <c r="K18" i="3"/>
  <c r="I18" i="3"/>
  <c r="H18" i="3"/>
  <c r="G18" i="3"/>
  <c r="F18" i="3"/>
  <c r="E18" i="3"/>
  <c r="W18" i="3" s="1"/>
  <c r="C18" i="3"/>
  <c r="V17" i="3"/>
  <c r="U17" i="3"/>
  <c r="S17" i="3"/>
  <c r="Q17" i="3"/>
  <c r="O17" i="3"/>
  <c r="M17" i="3"/>
  <c r="K17" i="3"/>
  <c r="I17" i="3"/>
  <c r="H17" i="3"/>
  <c r="G17" i="3"/>
  <c r="F17" i="3"/>
  <c r="E17" i="3"/>
  <c r="C17" i="3"/>
  <c r="W17" i="3" s="1"/>
  <c r="U16" i="3"/>
  <c r="S16" i="3"/>
  <c r="Q16" i="3"/>
  <c r="O16" i="3"/>
  <c r="M16" i="3"/>
  <c r="K16" i="3"/>
  <c r="H16" i="3"/>
  <c r="I16" i="3" s="1"/>
  <c r="F16" i="3"/>
  <c r="G16" i="3" s="1"/>
  <c r="D16" i="3"/>
  <c r="E16" i="3" s="1"/>
  <c r="C16" i="3"/>
  <c r="V15" i="3"/>
  <c r="T15" i="3"/>
  <c r="U15" i="3" s="1"/>
  <c r="R15" i="3"/>
  <c r="S15" i="3" s="1"/>
  <c r="P15" i="3"/>
  <c r="Q15" i="3" s="1"/>
  <c r="N15" i="3"/>
  <c r="O15" i="3" s="1"/>
  <c r="L15" i="3"/>
  <c r="M15" i="3" s="1"/>
  <c r="J15" i="3"/>
  <c r="K15" i="3" s="1"/>
  <c r="H15" i="3"/>
  <c r="I15" i="3" s="1"/>
  <c r="F15" i="3"/>
  <c r="G15" i="3" s="1"/>
  <c r="D15" i="3"/>
  <c r="E15" i="3" s="1"/>
  <c r="C15" i="3"/>
  <c r="V14" i="3"/>
  <c r="U14" i="3"/>
  <c r="S14" i="3"/>
  <c r="Q14" i="3"/>
  <c r="O14" i="3"/>
  <c r="M14" i="3"/>
  <c r="K14" i="3"/>
  <c r="I14" i="3"/>
  <c r="G14" i="3"/>
  <c r="D14" i="3"/>
  <c r="E14" i="3" s="1"/>
  <c r="C14" i="3"/>
  <c r="W14" i="3" s="1"/>
  <c r="U13" i="3"/>
  <c r="S13" i="3"/>
  <c r="Q13" i="3"/>
  <c r="O13" i="3"/>
  <c r="M13" i="3"/>
  <c r="K13" i="3"/>
  <c r="H13" i="3"/>
  <c r="I13" i="3" s="1"/>
  <c r="F13" i="3"/>
  <c r="G13" i="3" s="1"/>
  <c r="D13" i="3"/>
  <c r="E13" i="3" s="1"/>
  <c r="B13" i="3"/>
  <c r="V13" i="3" s="1"/>
  <c r="V12" i="3"/>
  <c r="U12" i="3"/>
  <c r="S12" i="3"/>
  <c r="Q12" i="3"/>
  <c r="O12" i="3"/>
  <c r="M12" i="3"/>
  <c r="K12" i="3"/>
  <c r="I12" i="3"/>
  <c r="G12" i="3"/>
  <c r="E12" i="3"/>
  <c r="C12" i="3"/>
  <c r="W12" i="3" s="1"/>
  <c r="B12" i="3"/>
  <c r="U11" i="3"/>
  <c r="S11" i="3"/>
  <c r="P11" i="3"/>
  <c r="Q11" i="3" s="1"/>
  <c r="N11" i="3"/>
  <c r="O11" i="3" s="1"/>
  <c r="L11" i="3"/>
  <c r="M11" i="3" s="1"/>
  <c r="K11" i="3"/>
  <c r="J11" i="3"/>
  <c r="I11" i="3"/>
  <c r="F11" i="3"/>
  <c r="G11" i="3" s="1"/>
  <c r="D11" i="3"/>
  <c r="V11" i="3" s="1"/>
  <c r="C11" i="3"/>
  <c r="U10" i="3"/>
  <c r="S10" i="3"/>
  <c r="Q10" i="3"/>
  <c r="O10" i="3"/>
  <c r="M10" i="3"/>
  <c r="K10" i="3"/>
  <c r="I10" i="3"/>
  <c r="G10" i="3"/>
  <c r="D10" i="3"/>
  <c r="E10" i="3" s="1"/>
  <c r="B10" i="3"/>
  <c r="C10" i="3" s="1"/>
  <c r="U9" i="3"/>
  <c r="S9" i="3"/>
  <c r="Q9" i="3"/>
  <c r="O9" i="3"/>
  <c r="M9" i="3"/>
  <c r="K9" i="3"/>
  <c r="I9" i="3"/>
  <c r="F9" i="3"/>
  <c r="G9" i="3" s="1"/>
  <c r="D9" i="3"/>
  <c r="E9" i="3" s="1"/>
  <c r="B9" i="3"/>
  <c r="V9" i="3" s="1"/>
  <c r="U8" i="3"/>
  <c r="S8" i="3"/>
  <c r="Q8" i="3"/>
  <c r="O8" i="3"/>
  <c r="M8" i="3"/>
  <c r="K8" i="3"/>
  <c r="I8" i="3"/>
  <c r="F8" i="3"/>
  <c r="V8" i="3" s="1"/>
  <c r="E8" i="3"/>
  <c r="D8" i="3"/>
  <c r="C8" i="3"/>
  <c r="B8" i="3"/>
  <c r="U7" i="3"/>
  <c r="S7" i="3"/>
  <c r="Q7" i="3"/>
  <c r="O7" i="3"/>
  <c r="M7" i="3"/>
  <c r="K7" i="3"/>
  <c r="I7" i="3"/>
  <c r="F7" i="3"/>
  <c r="G7" i="3" s="1"/>
  <c r="D7" i="3"/>
  <c r="E7" i="3" s="1"/>
  <c r="B7" i="3"/>
  <c r="V7" i="3" s="1"/>
  <c r="V6" i="3"/>
  <c r="U6" i="3"/>
  <c r="S6" i="3"/>
  <c r="Q6" i="3"/>
  <c r="O6" i="3"/>
  <c r="M6" i="3"/>
  <c r="K6" i="3"/>
  <c r="I6" i="3"/>
  <c r="G6" i="3"/>
  <c r="E6" i="3"/>
  <c r="B6" i="3"/>
  <c r="C6" i="3" s="1"/>
  <c r="W6" i="3" s="1"/>
  <c r="U5" i="3"/>
  <c r="S5" i="3"/>
  <c r="Q5" i="3"/>
  <c r="O5" i="3"/>
  <c r="M5" i="3"/>
  <c r="K5" i="3"/>
  <c r="I5" i="3"/>
  <c r="H5" i="3"/>
  <c r="F5" i="3"/>
  <c r="G5" i="3" s="1"/>
  <c r="D5" i="3"/>
  <c r="E5" i="3" s="1"/>
  <c r="B5" i="3"/>
  <c r="V5" i="3" s="1"/>
  <c r="U4" i="3"/>
  <c r="S4" i="3"/>
  <c r="Q4" i="3"/>
  <c r="O4" i="3"/>
  <c r="M4" i="3"/>
  <c r="K4" i="3"/>
  <c r="H4" i="3"/>
  <c r="I4" i="3" s="1"/>
  <c r="F4" i="3"/>
  <c r="G4" i="3" s="1"/>
  <c r="W4" i="3" s="1"/>
  <c r="E4" i="3"/>
  <c r="D4" i="3"/>
  <c r="C4" i="3"/>
  <c r="B4" i="3"/>
  <c r="V4" i="3" s="1"/>
  <c r="U3" i="3"/>
  <c r="S3" i="3"/>
  <c r="Q3" i="3"/>
  <c r="O3" i="3"/>
  <c r="M3" i="3"/>
  <c r="K3" i="3"/>
  <c r="I3" i="3"/>
  <c r="H3" i="3"/>
  <c r="G3" i="3"/>
  <c r="F3" i="3"/>
  <c r="E3" i="3"/>
  <c r="D3" i="3"/>
  <c r="B3" i="3"/>
  <c r="V3" i="3" s="1"/>
  <c r="U2" i="3"/>
  <c r="S2" i="3"/>
  <c r="Q2" i="3"/>
  <c r="O2" i="3"/>
  <c r="M2" i="3"/>
  <c r="J2" i="3"/>
  <c r="K2" i="3" s="1"/>
  <c r="H2" i="3"/>
  <c r="I2" i="3" s="1"/>
  <c r="F2" i="3"/>
  <c r="G2" i="3" s="1"/>
  <c r="D2" i="3"/>
  <c r="E2" i="3" s="1"/>
  <c r="B2" i="3"/>
  <c r="V2" i="3" s="1"/>
  <c r="D16" i="1"/>
  <c r="W21" i="3" l="1"/>
  <c r="V21" i="3"/>
  <c r="W16" i="3"/>
  <c r="V23" i="3"/>
  <c r="W23" i="3"/>
  <c r="W54" i="3"/>
  <c r="W15" i="3"/>
  <c r="W39" i="3"/>
  <c r="W40" i="3"/>
  <c r="W50" i="3"/>
  <c r="W55" i="3"/>
  <c r="W20" i="3"/>
  <c r="W41" i="3"/>
  <c r="W33" i="3"/>
  <c r="W44" i="3"/>
  <c r="W52" i="3"/>
  <c r="W28" i="3"/>
  <c r="W31" i="3"/>
  <c r="W34" i="3"/>
  <c r="W10" i="3"/>
  <c r="W29" i="3"/>
  <c r="C9" i="3"/>
  <c r="W9" i="3" s="1"/>
  <c r="K35" i="3"/>
  <c r="W35" i="3" s="1"/>
  <c r="U52" i="3"/>
  <c r="C3" i="3"/>
  <c r="W3" i="3" s="1"/>
  <c r="V31" i="3"/>
  <c r="V34" i="3"/>
  <c r="O42" i="3"/>
  <c r="W42" i="3" s="1"/>
  <c r="U53" i="3"/>
  <c r="W53" i="3" s="1"/>
  <c r="S36" i="3"/>
  <c r="W36" i="3" s="1"/>
  <c r="V10" i="3"/>
  <c r="V44" i="3"/>
  <c r="V51" i="3"/>
  <c r="C7" i="3"/>
  <c r="W7" i="3" s="1"/>
  <c r="E11" i="3"/>
  <c r="W11" i="3" s="1"/>
  <c r="C2" i="3"/>
  <c r="W2" i="3" s="1"/>
  <c r="Q40" i="3"/>
  <c r="C5" i="3"/>
  <c r="W5" i="3" s="1"/>
  <c r="G8" i="3"/>
  <c r="W8" i="3" s="1"/>
  <c r="G20" i="3"/>
  <c r="O45" i="3"/>
  <c r="W45" i="3" s="1"/>
  <c r="V16" i="3"/>
  <c r="O46" i="3"/>
  <c r="W46" i="3" s="1"/>
  <c r="V29" i="3"/>
  <c r="V32" i="3"/>
  <c r="V37" i="3"/>
  <c r="V41" i="3"/>
  <c r="U57" i="3"/>
  <c r="W57" i="3" s="1"/>
  <c r="C13" i="3"/>
  <c r="W13" i="3" s="1"/>
  <c r="K27" i="3"/>
  <c r="W27" i="3" s="1"/>
  <c r="S50" i="3"/>
  <c r="M38" i="3"/>
  <c r="W38" i="3" s="1"/>
  <c r="C11" i="1"/>
  <c r="T57" i="1"/>
  <c r="U57" i="1" s="1"/>
  <c r="S57" i="1"/>
  <c r="Q57" i="1"/>
  <c r="O57" i="1"/>
  <c r="M57" i="1"/>
  <c r="K57" i="1"/>
  <c r="T56" i="1"/>
  <c r="U56" i="1" s="1"/>
  <c r="S56" i="1"/>
  <c r="Q56" i="1"/>
  <c r="O56" i="1"/>
  <c r="M56" i="1"/>
  <c r="K56" i="1"/>
  <c r="C56" i="1"/>
  <c r="T55" i="1"/>
  <c r="U55" i="1" s="1"/>
  <c r="S55" i="1"/>
  <c r="Q55" i="1"/>
  <c r="O55" i="1"/>
  <c r="M55" i="1"/>
  <c r="K55" i="1"/>
  <c r="C55" i="1"/>
  <c r="T54" i="1"/>
  <c r="U54" i="1" s="1"/>
  <c r="S54" i="1"/>
  <c r="Q54" i="1"/>
  <c r="O54" i="1"/>
  <c r="M54" i="1"/>
  <c r="K54" i="1"/>
  <c r="T53" i="1"/>
  <c r="U53" i="1" s="1"/>
  <c r="S53" i="1"/>
  <c r="Q53" i="1"/>
  <c r="O53" i="1"/>
  <c r="M53" i="1"/>
  <c r="K53" i="1"/>
  <c r="C53" i="1"/>
  <c r="T52" i="1"/>
  <c r="U52" i="1" s="1"/>
  <c r="S52" i="1"/>
  <c r="Q52" i="1"/>
  <c r="O52" i="1"/>
  <c r="M52" i="1"/>
  <c r="K52" i="1"/>
  <c r="C52" i="1"/>
  <c r="T51" i="1"/>
  <c r="U51" i="1" s="1"/>
  <c r="S51" i="1"/>
  <c r="Q51" i="1"/>
  <c r="O51" i="1"/>
  <c r="M51" i="1"/>
  <c r="K51" i="1"/>
  <c r="C51" i="1"/>
  <c r="U50" i="1"/>
  <c r="R50" i="1"/>
  <c r="S50" i="1" s="1"/>
  <c r="Q50" i="1"/>
  <c r="O50" i="1"/>
  <c r="M50" i="1"/>
  <c r="K50" i="1"/>
  <c r="C50" i="1"/>
  <c r="U49" i="1"/>
  <c r="S49" i="1"/>
  <c r="P49" i="1"/>
  <c r="Q49" i="1" s="1"/>
  <c r="O49" i="1"/>
  <c r="M49" i="1"/>
  <c r="K49" i="1"/>
  <c r="U48" i="1"/>
  <c r="R48" i="1"/>
  <c r="S48" i="1" s="1"/>
  <c r="P48" i="1"/>
  <c r="Q48" i="1" s="1"/>
  <c r="O48" i="1"/>
  <c r="M48" i="1"/>
  <c r="K48" i="1"/>
  <c r="C48" i="1"/>
  <c r="U47" i="1"/>
  <c r="R47" i="1"/>
  <c r="S47" i="1" s="1"/>
  <c r="P47" i="1"/>
  <c r="Q47" i="1" s="1"/>
  <c r="O47" i="1"/>
  <c r="M47" i="1"/>
  <c r="K47" i="1"/>
  <c r="C47" i="1"/>
  <c r="U46" i="1"/>
  <c r="S46" i="1"/>
  <c r="P46" i="1"/>
  <c r="Q46" i="1" s="1"/>
  <c r="N46" i="1"/>
  <c r="O46" i="1" s="1"/>
  <c r="M46" i="1"/>
  <c r="K46" i="1"/>
  <c r="C46" i="1"/>
  <c r="U45" i="1"/>
  <c r="R45" i="1"/>
  <c r="S45" i="1" s="1"/>
  <c r="P45" i="1"/>
  <c r="Q45" i="1" s="1"/>
  <c r="N45" i="1"/>
  <c r="O45" i="1" s="1"/>
  <c r="M45" i="1"/>
  <c r="K45" i="1"/>
  <c r="C45" i="1"/>
  <c r="T44" i="1"/>
  <c r="U44" i="1" s="1"/>
  <c r="R44" i="1"/>
  <c r="S44" i="1" s="1"/>
  <c r="P44" i="1"/>
  <c r="Q44" i="1" s="1"/>
  <c r="N44" i="1"/>
  <c r="O44" i="1" s="1"/>
  <c r="M44" i="1"/>
  <c r="K44" i="1"/>
  <c r="C44" i="1"/>
  <c r="U43" i="1"/>
  <c r="S43" i="1"/>
  <c r="P43" i="1"/>
  <c r="Q43" i="1" s="1"/>
  <c r="N43" i="1"/>
  <c r="O43" i="1" s="1"/>
  <c r="M43" i="1"/>
  <c r="K43" i="1"/>
  <c r="U42" i="1"/>
  <c r="S42" i="1"/>
  <c r="P42" i="1"/>
  <c r="Q42" i="1" s="1"/>
  <c r="N42" i="1"/>
  <c r="O42" i="1" s="1"/>
  <c r="M42" i="1"/>
  <c r="K42" i="1"/>
  <c r="C42" i="1"/>
  <c r="U41" i="1"/>
  <c r="R41" i="1"/>
  <c r="S41" i="1" s="1"/>
  <c r="P41" i="1"/>
  <c r="Q41" i="1" s="1"/>
  <c r="N41" i="1"/>
  <c r="O41" i="1" s="1"/>
  <c r="L41" i="1"/>
  <c r="M41" i="1" s="1"/>
  <c r="K41" i="1"/>
  <c r="C41" i="1"/>
  <c r="U40" i="1"/>
  <c r="R40" i="1"/>
  <c r="S40" i="1" s="1"/>
  <c r="P40" i="1"/>
  <c r="Q40" i="1" s="1"/>
  <c r="N40" i="1"/>
  <c r="O40" i="1" s="1"/>
  <c r="L40" i="1"/>
  <c r="M40" i="1" s="1"/>
  <c r="K40" i="1"/>
  <c r="C40" i="1"/>
  <c r="U39" i="1"/>
  <c r="R39" i="1"/>
  <c r="S39" i="1" s="1"/>
  <c r="Q39" i="1"/>
  <c r="N39" i="1"/>
  <c r="O39" i="1" s="1"/>
  <c r="L39" i="1"/>
  <c r="M39" i="1" s="1"/>
  <c r="K39" i="1"/>
  <c r="C39" i="1"/>
  <c r="U38" i="1"/>
  <c r="S38" i="1"/>
  <c r="Q38" i="1"/>
  <c r="O38" i="1"/>
  <c r="L38" i="1"/>
  <c r="M38" i="1" s="1"/>
  <c r="K38" i="1"/>
  <c r="C38" i="1"/>
  <c r="U37" i="1"/>
  <c r="R37" i="1"/>
  <c r="S37" i="1" s="1"/>
  <c r="P37" i="1"/>
  <c r="Q37" i="1" s="1"/>
  <c r="N37" i="1"/>
  <c r="O37" i="1" s="1"/>
  <c r="L37" i="1"/>
  <c r="M37" i="1" s="1"/>
  <c r="J37" i="1"/>
  <c r="K37" i="1" s="1"/>
  <c r="U36" i="1"/>
  <c r="R36" i="1"/>
  <c r="S36" i="1" s="1"/>
  <c r="P36" i="1"/>
  <c r="Q36" i="1" s="1"/>
  <c r="N36" i="1"/>
  <c r="O36" i="1" s="1"/>
  <c r="L36" i="1"/>
  <c r="M36" i="1" s="1"/>
  <c r="J36" i="1"/>
  <c r="K36" i="1" s="1"/>
  <c r="U35" i="1"/>
  <c r="R35" i="1"/>
  <c r="S35" i="1" s="1"/>
  <c r="P35" i="1"/>
  <c r="Q35" i="1" s="1"/>
  <c r="N35" i="1"/>
  <c r="O35" i="1" s="1"/>
  <c r="L35" i="1"/>
  <c r="M35" i="1" s="1"/>
  <c r="J35" i="1"/>
  <c r="K35" i="1" s="1"/>
  <c r="C35" i="1"/>
  <c r="U34" i="1"/>
  <c r="R34" i="1"/>
  <c r="S34" i="1" s="1"/>
  <c r="P34" i="1"/>
  <c r="Q34" i="1" s="1"/>
  <c r="N34" i="1"/>
  <c r="O34" i="1" s="1"/>
  <c r="L34" i="1"/>
  <c r="M34" i="1" s="1"/>
  <c r="J34" i="1"/>
  <c r="K34" i="1" s="1"/>
  <c r="C34" i="1"/>
  <c r="U33" i="1"/>
  <c r="S33" i="1"/>
  <c r="P33" i="1"/>
  <c r="Q33" i="1" s="1"/>
  <c r="N33" i="1"/>
  <c r="O33" i="1" s="1"/>
  <c r="L33" i="1"/>
  <c r="M33" i="1" s="1"/>
  <c r="J33" i="1"/>
  <c r="K33" i="1" s="1"/>
  <c r="C33" i="1"/>
  <c r="U32" i="1"/>
  <c r="S32" i="1"/>
  <c r="P32" i="1"/>
  <c r="Q32" i="1" s="1"/>
  <c r="N32" i="1"/>
  <c r="O32" i="1" s="1"/>
  <c r="M32" i="1"/>
  <c r="J32" i="1"/>
  <c r="K32" i="1" s="1"/>
  <c r="C32" i="1"/>
  <c r="U31" i="1"/>
  <c r="R31" i="1"/>
  <c r="S31" i="1" s="1"/>
  <c r="P31" i="1"/>
  <c r="Q31" i="1" s="1"/>
  <c r="N31" i="1"/>
  <c r="O31" i="1" s="1"/>
  <c r="L31" i="1"/>
  <c r="M31" i="1" s="1"/>
  <c r="J31" i="1"/>
  <c r="K31" i="1" s="1"/>
  <c r="C31" i="1"/>
  <c r="U30" i="1"/>
  <c r="R30" i="1"/>
  <c r="S30" i="1" s="1"/>
  <c r="P30" i="1"/>
  <c r="Q30" i="1" s="1"/>
  <c r="N30" i="1"/>
  <c r="O30" i="1" s="1"/>
  <c r="L30" i="1"/>
  <c r="M30" i="1" s="1"/>
  <c r="J30" i="1"/>
  <c r="K30" i="1" s="1"/>
  <c r="C30" i="1"/>
  <c r="U29" i="1"/>
  <c r="R29" i="1"/>
  <c r="S29" i="1" s="1"/>
  <c r="P29" i="1"/>
  <c r="Q29" i="1" s="1"/>
  <c r="N29" i="1"/>
  <c r="O29" i="1" s="1"/>
  <c r="L29" i="1"/>
  <c r="M29" i="1" s="1"/>
  <c r="J29" i="1"/>
  <c r="K29" i="1" s="1"/>
  <c r="C29" i="1"/>
  <c r="U28" i="1"/>
  <c r="S28" i="1"/>
  <c r="P28" i="1"/>
  <c r="Q28" i="1" s="1"/>
  <c r="N28" i="1"/>
  <c r="O28" i="1" s="1"/>
  <c r="L28" i="1"/>
  <c r="M28" i="1" s="1"/>
  <c r="J28" i="1"/>
  <c r="K28" i="1" s="1"/>
  <c r="C28" i="1"/>
  <c r="U27" i="1"/>
  <c r="R27" i="1"/>
  <c r="S27" i="1" s="1"/>
  <c r="P27" i="1"/>
  <c r="Q27" i="1" s="1"/>
  <c r="N27" i="1"/>
  <c r="O27" i="1" s="1"/>
  <c r="L27" i="1"/>
  <c r="M27" i="1" s="1"/>
  <c r="J27" i="1"/>
  <c r="K27" i="1" s="1"/>
  <c r="C27" i="1"/>
  <c r="U26" i="1"/>
  <c r="S26" i="1"/>
  <c r="Q26" i="1"/>
  <c r="O26" i="1"/>
  <c r="M26" i="1"/>
  <c r="J26" i="1"/>
  <c r="K26" i="1" s="1"/>
  <c r="C26" i="1"/>
  <c r="U25" i="1"/>
  <c r="S25" i="1"/>
  <c r="Q25" i="1"/>
  <c r="O25" i="1"/>
  <c r="M25" i="1"/>
  <c r="K25" i="1"/>
  <c r="H25" i="1"/>
  <c r="U24" i="1"/>
  <c r="S24" i="1"/>
  <c r="Q24" i="1"/>
  <c r="O24" i="1"/>
  <c r="M24" i="1"/>
  <c r="K24" i="1"/>
  <c r="H24" i="1"/>
  <c r="C24" i="1"/>
  <c r="U23" i="1"/>
  <c r="S23" i="1"/>
  <c r="Q23" i="1"/>
  <c r="O23" i="1"/>
  <c r="M23" i="1"/>
  <c r="K23" i="1"/>
  <c r="H23" i="1"/>
  <c r="C23" i="1"/>
  <c r="U22" i="1"/>
  <c r="S22" i="1"/>
  <c r="Q22" i="1"/>
  <c r="O22" i="1"/>
  <c r="M22" i="1"/>
  <c r="K22" i="1"/>
  <c r="H22" i="1"/>
  <c r="C22" i="1"/>
  <c r="U21" i="1"/>
  <c r="S21" i="1"/>
  <c r="Q21" i="1"/>
  <c r="O21" i="1"/>
  <c r="M21" i="1"/>
  <c r="K21" i="1"/>
  <c r="H21" i="1"/>
  <c r="F21" i="1"/>
  <c r="C21" i="1"/>
  <c r="U20" i="1"/>
  <c r="S20" i="1"/>
  <c r="Q20" i="1"/>
  <c r="O20" i="1"/>
  <c r="M20" i="1"/>
  <c r="K20" i="1"/>
  <c r="H20" i="1"/>
  <c r="F20" i="1"/>
  <c r="C20" i="1"/>
  <c r="U19" i="1"/>
  <c r="S19" i="1"/>
  <c r="Q19" i="1"/>
  <c r="O19" i="1"/>
  <c r="M19" i="1"/>
  <c r="K19" i="1"/>
  <c r="H19" i="1"/>
  <c r="F19" i="1"/>
  <c r="C19" i="1"/>
  <c r="U18" i="1"/>
  <c r="S18" i="1"/>
  <c r="Q18" i="1"/>
  <c r="O18" i="1"/>
  <c r="M18" i="1"/>
  <c r="K18" i="1"/>
  <c r="H18" i="1"/>
  <c r="F18" i="1"/>
  <c r="C18" i="1"/>
  <c r="U17" i="1"/>
  <c r="S17" i="1"/>
  <c r="Q17" i="1"/>
  <c r="O17" i="1"/>
  <c r="M17" i="1"/>
  <c r="K17" i="1"/>
  <c r="H17" i="1"/>
  <c r="F17" i="1"/>
  <c r="C17" i="1"/>
  <c r="U16" i="1"/>
  <c r="S16" i="1"/>
  <c r="Q16" i="1"/>
  <c r="O16" i="1"/>
  <c r="M16" i="1"/>
  <c r="K16" i="1"/>
  <c r="H16" i="1"/>
  <c r="F16" i="1"/>
  <c r="C16" i="1"/>
  <c r="T15" i="1"/>
  <c r="U15" i="1" s="1"/>
  <c r="R15" i="1"/>
  <c r="S15" i="1" s="1"/>
  <c r="P15" i="1"/>
  <c r="Q15" i="1" s="1"/>
  <c r="N15" i="1"/>
  <c r="O15" i="1" s="1"/>
  <c r="L15" i="1"/>
  <c r="M15" i="1" s="1"/>
  <c r="J15" i="1"/>
  <c r="K15" i="1" s="1"/>
  <c r="H15" i="1"/>
  <c r="F15" i="1"/>
  <c r="D15" i="1"/>
  <c r="C15" i="1"/>
  <c r="U14" i="1"/>
  <c r="S14" i="1"/>
  <c r="Q14" i="1"/>
  <c r="O14" i="1"/>
  <c r="M14" i="1"/>
  <c r="K14" i="1"/>
  <c r="D14" i="1"/>
  <c r="C14" i="1"/>
  <c r="U13" i="1"/>
  <c r="S13" i="1"/>
  <c r="Q13" i="1"/>
  <c r="O13" i="1"/>
  <c r="M13" i="1"/>
  <c r="K13" i="1"/>
  <c r="H13" i="1"/>
  <c r="F13" i="1"/>
  <c r="D13" i="1"/>
  <c r="B13" i="1"/>
  <c r="C13" i="1" s="1"/>
  <c r="U12" i="1"/>
  <c r="S12" i="1"/>
  <c r="Q12" i="1"/>
  <c r="O12" i="1"/>
  <c r="M12" i="1"/>
  <c r="K12" i="1"/>
  <c r="B12" i="1"/>
  <c r="C12" i="1" s="1"/>
  <c r="U11" i="1"/>
  <c r="S11" i="1"/>
  <c r="P11" i="1"/>
  <c r="Q11" i="1" s="1"/>
  <c r="N11" i="1"/>
  <c r="O11" i="1" s="1"/>
  <c r="L11" i="1"/>
  <c r="M11" i="1" s="1"/>
  <c r="J11" i="1"/>
  <c r="K11" i="1" s="1"/>
  <c r="F11" i="1"/>
  <c r="D11" i="1"/>
  <c r="U10" i="1"/>
  <c r="S10" i="1"/>
  <c r="Q10" i="1"/>
  <c r="O10" i="1"/>
  <c r="M10" i="1"/>
  <c r="K10" i="1"/>
  <c r="D10" i="1"/>
  <c r="B10" i="1"/>
  <c r="C10" i="1" s="1"/>
  <c r="U9" i="1"/>
  <c r="S9" i="1"/>
  <c r="Q9" i="1"/>
  <c r="O9" i="1"/>
  <c r="M9" i="1"/>
  <c r="K9" i="1"/>
  <c r="F9" i="1"/>
  <c r="D9" i="1"/>
  <c r="B9" i="1"/>
  <c r="C9" i="1" s="1"/>
  <c r="U8" i="1"/>
  <c r="S8" i="1"/>
  <c r="Q8" i="1"/>
  <c r="O8" i="1"/>
  <c r="M8" i="1"/>
  <c r="K8" i="1"/>
  <c r="F8" i="1"/>
  <c r="D8" i="1"/>
  <c r="B8" i="1"/>
  <c r="C8" i="1" s="1"/>
  <c r="U7" i="1"/>
  <c r="S7" i="1"/>
  <c r="Q7" i="1"/>
  <c r="O7" i="1"/>
  <c r="M7" i="1"/>
  <c r="K7" i="1"/>
  <c r="F7" i="1"/>
  <c r="D7" i="1"/>
  <c r="B7" i="1"/>
  <c r="C7" i="1" s="1"/>
  <c r="U6" i="1"/>
  <c r="S6" i="1"/>
  <c r="Q6" i="1"/>
  <c r="O6" i="1"/>
  <c r="M6" i="1"/>
  <c r="K6" i="1"/>
  <c r="B6" i="1"/>
  <c r="C6" i="1" s="1"/>
  <c r="U5" i="1"/>
  <c r="S5" i="1"/>
  <c r="Q5" i="1"/>
  <c r="O5" i="1"/>
  <c r="M5" i="1"/>
  <c r="K5" i="1"/>
  <c r="H5" i="1"/>
  <c r="F5" i="1"/>
  <c r="D5" i="1"/>
  <c r="B5" i="1"/>
  <c r="C5" i="1" s="1"/>
  <c r="U4" i="1"/>
  <c r="S4" i="1"/>
  <c r="Q4" i="1"/>
  <c r="O4" i="1"/>
  <c r="M4" i="1"/>
  <c r="K4" i="1"/>
  <c r="H4" i="1"/>
  <c r="F4" i="1"/>
  <c r="D4" i="1"/>
  <c r="B4" i="1"/>
  <c r="C4" i="1" s="1"/>
  <c r="U3" i="1"/>
  <c r="S3" i="1"/>
  <c r="Q3" i="1"/>
  <c r="O3" i="1"/>
  <c r="M3" i="1"/>
  <c r="K3" i="1"/>
  <c r="H3" i="1"/>
  <c r="F3" i="1"/>
  <c r="D3" i="1"/>
  <c r="B3" i="1"/>
  <c r="C3" i="1" s="1"/>
  <c r="U2" i="1"/>
  <c r="S2" i="1"/>
  <c r="Q2" i="1"/>
  <c r="O2" i="1"/>
  <c r="M2" i="1"/>
  <c r="J2" i="1"/>
  <c r="K2" i="1" s="1"/>
  <c r="H2" i="1"/>
  <c r="F2" i="1"/>
  <c r="D2" i="1"/>
  <c r="B2" i="1"/>
  <c r="C2" i="1" s="1"/>
  <c r="W19" i="1" l="1"/>
  <c r="W7" i="1"/>
  <c r="W18" i="1"/>
  <c r="W30" i="1"/>
  <c r="W42" i="1"/>
  <c r="W41" i="1"/>
  <c r="W47" i="1"/>
  <c r="W52" i="1"/>
  <c r="W6" i="1"/>
  <c r="W29" i="1"/>
  <c r="W40" i="1"/>
  <c r="W13" i="1"/>
  <c r="W14" i="1"/>
  <c r="W15" i="1"/>
  <c r="W26" i="1"/>
  <c r="W34" i="1"/>
  <c r="W39" i="1"/>
  <c r="W48" i="1"/>
  <c r="W50" i="1"/>
  <c r="W2" i="1"/>
  <c r="W3" i="1"/>
  <c r="W16" i="1"/>
  <c r="W22" i="1"/>
  <c r="W44" i="1"/>
  <c r="W55" i="1"/>
  <c r="W4" i="1"/>
  <c r="W10" i="1"/>
  <c r="W27" i="1"/>
  <c r="W33" i="1"/>
  <c r="W38" i="1"/>
  <c r="W21" i="1"/>
  <c r="W9" i="1"/>
  <c r="W32" i="1"/>
  <c r="W20" i="1"/>
  <c r="W28" i="1"/>
  <c r="W8" i="1"/>
  <c r="W31" i="1"/>
  <c r="W53" i="1"/>
  <c r="W12" i="1"/>
  <c r="W23" i="1"/>
  <c r="W17" i="1"/>
  <c r="W24" i="1"/>
  <c r="W35" i="1"/>
  <c r="W45" i="1"/>
  <c r="W46" i="1"/>
  <c r="W51" i="1"/>
  <c r="W56" i="1"/>
  <c r="W5" i="1"/>
  <c r="W11" i="1"/>
  <c r="V2" i="1"/>
  <c r="V25" i="1"/>
  <c r="V37" i="1"/>
  <c r="V43" i="1"/>
  <c r="V49" i="1"/>
  <c r="V36" i="1"/>
  <c r="V54" i="1"/>
  <c r="V13" i="1"/>
  <c r="V48" i="1"/>
  <c r="V24" i="1"/>
  <c r="V12" i="1"/>
  <c r="V47" i="1"/>
  <c r="V35" i="1"/>
  <c r="V23" i="1"/>
  <c r="V11" i="1"/>
  <c r="V46" i="1"/>
  <c r="V34" i="1"/>
  <c r="V22" i="1"/>
  <c r="V10" i="1"/>
  <c r="V57" i="1"/>
  <c r="V45" i="1"/>
  <c r="V33" i="1"/>
  <c r="V21" i="1"/>
  <c r="V9" i="1"/>
  <c r="V56" i="1"/>
  <c r="V44" i="1"/>
  <c r="V32" i="1"/>
  <c r="V20" i="1"/>
  <c r="V8" i="1"/>
  <c r="V55" i="1"/>
  <c r="V31" i="1"/>
  <c r="V19" i="1"/>
  <c r="V7" i="1"/>
  <c r="V42" i="1"/>
  <c r="V30" i="1"/>
  <c r="V18" i="1"/>
  <c r="V6" i="1"/>
  <c r="V53" i="1"/>
  <c r="V41" i="1"/>
  <c r="V29" i="1"/>
  <c r="V17" i="1"/>
  <c r="V5" i="1"/>
  <c r="V52" i="1"/>
  <c r="V40" i="1"/>
  <c r="V28" i="1"/>
  <c r="V16" i="1"/>
  <c r="V4" i="1"/>
  <c r="V51" i="1"/>
  <c r="V39" i="1"/>
  <c r="V27" i="1"/>
  <c r="V15" i="1"/>
  <c r="V3" i="1"/>
  <c r="V50" i="1"/>
  <c r="V38" i="1"/>
  <c r="V26" i="1"/>
  <c r="V14" i="1"/>
  <c r="C49" i="1"/>
  <c r="W49" i="1" s="1"/>
  <c r="C37" i="1"/>
  <c r="W37" i="1" s="1"/>
  <c r="C25" i="1"/>
  <c r="W25" i="1" s="1"/>
  <c r="C36" i="1"/>
  <c r="W36" i="1" s="1"/>
  <c r="C57" i="1"/>
  <c r="W57" i="1" s="1"/>
  <c r="C43" i="1"/>
  <c r="W43" i="1" s="1"/>
  <c r="C54" i="1"/>
  <c r="W54" i="1" s="1"/>
</calcChain>
</file>

<file path=xl/sharedStrings.xml><?xml version="1.0" encoding="utf-8"?>
<sst xmlns="http://schemas.openxmlformats.org/spreadsheetml/2006/main" count="158" uniqueCount="84">
  <si>
    <t>Model</t>
  </si>
  <si>
    <t>Total Sales Units</t>
  </si>
  <si>
    <t>FZ16</t>
  </si>
  <si>
    <t>FZ16S</t>
  </si>
  <si>
    <t>FZ16ST(FAZER)</t>
  </si>
  <si>
    <t>FZ合計</t>
  </si>
  <si>
    <t>SZ 16</t>
  </si>
  <si>
    <t>SZ X</t>
  </si>
  <si>
    <t>SZ R</t>
  </si>
  <si>
    <t>XTZ 125E</t>
  </si>
  <si>
    <t>YZ 125</t>
  </si>
  <si>
    <t>YBR110</t>
  </si>
  <si>
    <t>YBR125</t>
  </si>
  <si>
    <t>RAY Original</t>
  </si>
  <si>
    <t>YZ 250</t>
  </si>
  <si>
    <t>YZF-R15</t>
  </si>
  <si>
    <t>XC115F</t>
  </si>
  <si>
    <t>FZN150</t>
  </si>
  <si>
    <t>FZN150D</t>
  </si>
  <si>
    <t>FZH150(FAZER)</t>
  </si>
  <si>
    <t>YC125-5</t>
  </si>
  <si>
    <t>XC115B</t>
  </si>
  <si>
    <t>FASCINO</t>
  </si>
  <si>
    <t>RAY</t>
  </si>
  <si>
    <t>RAY ZR(Drum)</t>
  </si>
  <si>
    <t>RAY ZR(Disk)</t>
  </si>
  <si>
    <t>XJ900PCZ6</t>
  </si>
  <si>
    <t>FZN150 FZ ver.2</t>
  </si>
  <si>
    <t>FZN150D FZS ver.2</t>
  </si>
  <si>
    <t>FZN250</t>
  </si>
  <si>
    <t>FZH150 FAZER ver.2</t>
  </si>
  <si>
    <t>YC125-5 SALUTO DISK</t>
  </si>
  <si>
    <t>XC115B RAY Z</t>
  </si>
  <si>
    <t>RAY Z (NEW)</t>
  </si>
  <si>
    <t>XC115C FASCINO</t>
  </si>
  <si>
    <t>XC115F ALPHA</t>
  </si>
  <si>
    <t>XC115B RAY ZR(Drum)</t>
  </si>
  <si>
    <t>XC115BD RAY ZR(Disk)</t>
  </si>
  <si>
    <t>R3</t>
  </si>
  <si>
    <t>FZN150D(Rear Disc.)</t>
  </si>
  <si>
    <t>XC115F ALPHA DISC</t>
  </si>
  <si>
    <t>XC115BD RAY SR(Disk)</t>
  </si>
  <si>
    <t>FZN150 FZ ver.3</t>
  </si>
  <si>
    <t>FZN150D FZS ver.3</t>
  </si>
  <si>
    <t>MT-15</t>
  </si>
  <si>
    <t>Saluto Rx</t>
  </si>
  <si>
    <t>N Max</t>
  </si>
  <si>
    <t>Arroex</t>
  </si>
  <si>
    <t>Ray ZR-DK-125cc</t>
  </si>
  <si>
    <t>Ray ZR-SR-125cc</t>
  </si>
  <si>
    <t>Fascino 125cc</t>
  </si>
  <si>
    <t>FZ - V2</t>
  </si>
  <si>
    <t>FZ - V4</t>
  </si>
  <si>
    <t>FZ -S- FI</t>
  </si>
  <si>
    <t>Ray ZR - 125 Disc</t>
  </si>
  <si>
    <t>Ray ZR - 125 Street Rally</t>
  </si>
  <si>
    <t>Ray ZR -Disc</t>
  </si>
  <si>
    <t>Ray ZR -Street Rally</t>
  </si>
  <si>
    <t>2013(20%)</t>
  </si>
  <si>
    <t>2014(30%)</t>
  </si>
  <si>
    <t>2015(30%)</t>
  </si>
  <si>
    <t>2016(60%)</t>
  </si>
  <si>
    <t>2017(60%)</t>
  </si>
  <si>
    <t>2018(60%)</t>
  </si>
  <si>
    <t>2019(60%)</t>
  </si>
  <si>
    <t>2020(60%)</t>
  </si>
  <si>
    <t>2021(60%)</t>
  </si>
  <si>
    <t>2025(2%)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</si>
  <si>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</si>
  <si>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</si>
  <si>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</si>
  <si>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</si>
  <si>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</si>
  <si>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</si>
  <si>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</si>
  <si>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</si>
  <si>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</si>
  <si>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2025</t>
  </si>
  <si>
    <t>UIO</t>
  </si>
  <si>
    <t>RAY/ ray orininal</t>
  </si>
  <si>
    <t>XC115B/ray</t>
  </si>
  <si>
    <t>2014(20%)</t>
  </si>
  <si>
    <t>2015(20%)</t>
  </si>
  <si>
    <t>2016(20%)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</si>
</sst>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49" fontId="0" fillId="4" borderId="0" xfId="0" applyNumberFormat="1" applyFill="1"/>
    <xf numFmtId="49" fontId="0" fillId="5" borderId="0" xfId="0" applyNumberFormat="1" applyFill="1"/>
    <xf numFmtId="0" fontId="0" fillId="6" borderId="0" xfId="0" applyFill="1"/>
    <xf numFmtId="0" fontId="0" fillId="7" borderId="0" xfId="0" applyFill="1"/>
    <xf numFmtId="1" fontId="0" fillId="8" borderId="0" xfId="0" applyNumberFormat="1" applyFill="1"/>
    <xf numFmtId="0" fontId="0" fillId="8" borderId="0" xfId="0" applyFill="1"/>
    <xf numFmtId="49" fontId="0" fillId="9" borderId="0" xfId="0" applyNumberFormat="1" applyFill="1"/>
    <xf numFmtId="0" fontId="0" fillId="6" borderId="0" xfId="0" applyFill="1" applyAlignment="1">
      <alignment horizontal="center" vertical="center"/>
    </xf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30" formatCode="@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indam\Desktop\past_sales.xlsx" TargetMode="External"/><Relationship Id="rId1" Type="http://schemas.openxmlformats.org/officeDocument/2006/relationships/externalLinkPath" Target="past_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IO"/>
      <sheetName val="SU"/>
      <sheetName val="2026"/>
      <sheetName val="2025"/>
      <sheetName val="2021"/>
      <sheetName val="2020"/>
      <sheetName val="2019"/>
      <sheetName val="2018"/>
      <sheetName val="2017"/>
      <sheetName val="2016"/>
      <sheetName val="2015"/>
      <sheetName val="2014"/>
      <sheetName val="2013"/>
    </sheetNames>
    <sheetDataSet>
      <sheetData sheetId="0"/>
      <sheetData sheetId="1"/>
      <sheetData sheetId="2"/>
      <sheetData sheetId="3">
        <row r="1">
          <cell r="A1"/>
          <cell r="N1" t="str">
            <v>Total</v>
          </cell>
        </row>
        <row r="2">
          <cell r="A2" t="str">
            <v>FZ - V2</v>
          </cell>
          <cell r="N2">
            <v>4922</v>
          </cell>
        </row>
        <row r="3">
          <cell r="A3" t="str">
            <v>FZ - V4</v>
          </cell>
          <cell r="N3">
            <v>4073</v>
          </cell>
        </row>
        <row r="4">
          <cell r="A4" t="str">
            <v>FZ -S- FI</v>
          </cell>
          <cell r="N4">
            <v>745</v>
          </cell>
        </row>
        <row r="5">
          <cell r="A5" t="str">
            <v>MT-15</v>
          </cell>
          <cell r="N5">
            <v>1651</v>
          </cell>
        </row>
        <row r="6">
          <cell r="A6" t="str">
            <v>YZF-R15</v>
          </cell>
          <cell r="N6">
            <v>849</v>
          </cell>
        </row>
        <row r="7">
          <cell r="A7" t="str">
            <v>Ray ZR - 125 Disc</v>
          </cell>
          <cell r="N7">
            <v>3434</v>
          </cell>
        </row>
        <row r="8">
          <cell r="A8" t="str">
            <v>Ray ZR - 125 Street Rally</v>
          </cell>
          <cell r="N8">
            <v>2325</v>
          </cell>
        </row>
        <row r="9">
          <cell r="A9" t="str">
            <v>Ray ZR -Disc</v>
          </cell>
          <cell r="N9">
            <v>2780</v>
          </cell>
        </row>
        <row r="10">
          <cell r="A10" t="str">
            <v>Ray ZR -Street Rally</v>
          </cell>
          <cell r="N10">
            <v>1305</v>
          </cell>
        </row>
      </sheetData>
      <sheetData sheetId="4">
        <row r="1">
          <cell r="A1"/>
          <cell r="N1" t="str">
            <v>Total</v>
          </cell>
        </row>
        <row r="2">
          <cell r="A2" t="str">
            <v>YZF-R15</v>
          </cell>
          <cell r="N2">
            <v>3</v>
          </cell>
        </row>
        <row r="3">
          <cell r="A3" t="str">
            <v>FZN150 FZ ver.2</v>
          </cell>
          <cell r="N3">
            <v>2</v>
          </cell>
        </row>
        <row r="4">
          <cell r="A4" t="str">
            <v>FZN150D(Rear Disc.)</v>
          </cell>
          <cell r="N4">
            <v>1</v>
          </cell>
        </row>
        <row r="5">
          <cell r="A5" t="str">
            <v>FZN250</v>
          </cell>
          <cell r="N5">
            <v>1</v>
          </cell>
        </row>
        <row r="6">
          <cell r="A6" t="str">
            <v>FZH150 FAZER ver.2</v>
          </cell>
          <cell r="N6">
            <v>7</v>
          </cell>
        </row>
        <row r="7">
          <cell r="A7" t="str">
            <v>MT-15</v>
          </cell>
          <cell r="N7">
            <v>4</v>
          </cell>
        </row>
        <row r="8">
          <cell r="A8" t="str">
            <v>YC125-5 SALUTO DISK</v>
          </cell>
          <cell r="N8">
            <v>18</v>
          </cell>
        </row>
        <row r="9">
          <cell r="A9" t="str">
            <v>Saluto Rx</v>
          </cell>
          <cell r="N9">
            <v>7</v>
          </cell>
        </row>
        <row r="10">
          <cell r="A10" t="str">
            <v>Arroex</v>
          </cell>
          <cell r="N10">
            <v>1</v>
          </cell>
        </row>
        <row r="11">
          <cell r="A11" t="str">
            <v>Fascino 125cc</v>
          </cell>
          <cell r="N11">
            <v>1</v>
          </cell>
        </row>
        <row r="12">
          <cell r="A12" t="str">
            <v>Ray ZR-DK-125cc</v>
          </cell>
          <cell r="N12">
            <v>2</v>
          </cell>
        </row>
        <row r="13">
          <cell r="A13" t="str">
            <v>XC115C FASCINO</v>
          </cell>
          <cell r="N13">
            <v>1</v>
          </cell>
        </row>
        <row r="14">
          <cell r="A14" t="str">
            <v>XC115F ALPHA</v>
          </cell>
          <cell r="N14">
            <v>1</v>
          </cell>
        </row>
        <row r="15">
          <cell r="A15" t="str">
            <v>XC115F ALPHA DISC</v>
          </cell>
          <cell r="N15">
            <v>1</v>
          </cell>
        </row>
        <row r="16">
          <cell r="A16" t="str">
            <v>XC115B RAY ZR(Drum)</v>
          </cell>
          <cell r="N16">
            <v>6</v>
          </cell>
        </row>
        <row r="17">
          <cell r="A17" t="str">
            <v>XC115BD RAY ZR(Disk)</v>
          </cell>
          <cell r="N17">
            <v>5</v>
          </cell>
        </row>
        <row r="18">
          <cell r="A18" t="str">
            <v>XC115BD RAY SR(Disk)</v>
          </cell>
          <cell r="N18">
            <v>1</v>
          </cell>
        </row>
      </sheetData>
      <sheetData sheetId="5">
        <row r="1">
          <cell r="A1"/>
          <cell r="N1" t="str">
            <v>Total</v>
          </cell>
        </row>
        <row r="2">
          <cell r="A2" t="str">
            <v>YZF-R15</v>
          </cell>
          <cell r="N2">
            <v>943</v>
          </cell>
        </row>
        <row r="3">
          <cell r="A3" t="str">
            <v>FZN150 FZ ver.2</v>
          </cell>
          <cell r="N3">
            <v>3421</v>
          </cell>
        </row>
        <row r="4">
          <cell r="A4" t="str">
            <v>FZN150D FZS ver.2</v>
          </cell>
          <cell r="N4">
            <v>5</v>
          </cell>
        </row>
        <row r="5">
          <cell r="A5" t="str">
            <v>FZN150 FZ ver.3</v>
          </cell>
          <cell r="N5">
            <v>2115</v>
          </cell>
        </row>
        <row r="6">
          <cell r="A6" t="str">
            <v>FZN150D FZS ver.3</v>
          </cell>
          <cell r="N6">
            <v>3049</v>
          </cell>
        </row>
        <row r="7">
          <cell r="A7" t="str">
            <v>FZN250</v>
          </cell>
          <cell r="N7">
            <v>50</v>
          </cell>
        </row>
        <row r="8">
          <cell r="A8" t="str">
            <v>FZH150 FAZER ver.2</v>
          </cell>
          <cell r="N8">
            <v>442</v>
          </cell>
        </row>
        <row r="9">
          <cell r="A9" t="str">
            <v>MT-15</v>
          </cell>
          <cell r="N9">
            <v>1343</v>
          </cell>
        </row>
        <row r="10">
          <cell r="A10" t="str">
            <v>YC125-5 SALUTO DISK</v>
          </cell>
          <cell r="N10">
            <v>237</v>
          </cell>
        </row>
        <row r="11">
          <cell r="A11" t="str">
            <v>Saluto Rx</v>
          </cell>
          <cell r="N11">
            <v>1</v>
          </cell>
        </row>
        <row r="12">
          <cell r="A12" t="str">
            <v>YBR110</v>
          </cell>
          <cell r="N12">
            <v>1</v>
          </cell>
        </row>
        <row r="13">
          <cell r="A13" t="str">
            <v>N Max</v>
          </cell>
          <cell r="N13">
            <v>612</v>
          </cell>
        </row>
        <row r="14">
          <cell r="A14" t="str">
            <v>Arroex</v>
          </cell>
          <cell r="N14">
            <v>71</v>
          </cell>
        </row>
        <row r="15">
          <cell r="A15" t="str">
            <v>Ray ZR-DK-125cc</v>
          </cell>
          <cell r="N15">
            <v>54</v>
          </cell>
        </row>
        <row r="16">
          <cell r="A16" t="str">
            <v>Ray ZR-SR-125cc</v>
          </cell>
          <cell r="N16">
            <v>17</v>
          </cell>
        </row>
        <row r="17">
          <cell r="A17" t="str">
            <v>XC115B RAY Z</v>
          </cell>
          <cell r="N17">
            <v>1</v>
          </cell>
        </row>
        <row r="18">
          <cell r="A18" t="str">
            <v>RAY Z (NEW)</v>
          </cell>
          <cell r="N18">
            <v>435</v>
          </cell>
        </row>
        <row r="19">
          <cell r="A19" t="str">
            <v>XC115C FASCINO</v>
          </cell>
          <cell r="N19">
            <v>605</v>
          </cell>
        </row>
        <row r="20">
          <cell r="A20" t="str">
            <v>XC115F ALPHA</v>
          </cell>
          <cell r="N20">
            <v>6</v>
          </cell>
        </row>
        <row r="21">
          <cell r="A21" t="str">
            <v>XC115F ALPHA DISC</v>
          </cell>
          <cell r="N21">
            <v>228</v>
          </cell>
        </row>
        <row r="22">
          <cell r="A22" t="str">
            <v>XC115B RAY ZR(Drum)</v>
          </cell>
          <cell r="N22">
            <v>3729</v>
          </cell>
        </row>
        <row r="23">
          <cell r="A23" t="str">
            <v>XC115BD RAY ZR(Disk)</v>
          </cell>
          <cell r="N23">
            <v>5907</v>
          </cell>
        </row>
        <row r="24">
          <cell r="A24" t="str">
            <v>XC115BD RAY SR(Disk)</v>
          </cell>
          <cell r="N24">
            <v>3670</v>
          </cell>
        </row>
      </sheetData>
      <sheetData sheetId="6">
        <row r="1">
          <cell r="A1"/>
          <cell r="N1" t="str">
            <v>Total</v>
          </cell>
        </row>
        <row r="2">
          <cell r="A2" t="str">
            <v>YZF-R15</v>
          </cell>
          <cell r="N2">
            <v>1306</v>
          </cell>
        </row>
        <row r="3">
          <cell r="A3" t="str">
            <v>FZN150 FZ ver.2</v>
          </cell>
          <cell r="N3">
            <v>6151</v>
          </cell>
        </row>
        <row r="4">
          <cell r="A4" t="str">
            <v>FZN150D FZS ver.2</v>
          </cell>
          <cell r="N4">
            <v>3605</v>
          </cell>
        </row>
        <row r="5">
          <cell r="A5" t="str">
            <v>FZN150 FZ ver.3</v>
          </cell>
          <cell r="N5">
            <v>3086</v>
          </cell>
        </row>
        <row r="6">
          <cell r="A6" t="str">
            <v>FZN150D FZS ver.3</v>
          </cell>
          <cell r="N6">
            <v>3910</v>
          </cell>
        </row>
        <row r="7">
          <cell r="A7" t="str">
            <v>FZN150D(Rear Disc.)</v>
          </cell>
          <cell r="N7">
            <v>2741</v>
          </cell>
        </row>
        <row r="8">
          <cell r="A8" t="str">
            <v>FZN250</v>
          </cell>
          <cell r="N8">
            <v>39</v>
          </cell>
        </row>
        <row r="9">
          <cell r="A9" t="str">
            <v>FZH150 FAZER ver.2</v>
          </cell>
          <cell r="N9">
            <v>786</v>
          </cell>
        </row>
        <row r="10">
          <cell r="A10" t="str">
            <v>MT-15</v>
          </cell>
          <cell r="N10">
            <v>861</v>
          </cell>
        </row>
        <row r="11">
          <cell r="A11" t="str">
            <v>YC125-5 SALUTO DISK</v>
          </cell>
          <cell r="N11">
            <v>367</v>
          </cell>
        </row>
        <row r="12">
          <cell r="A12" t="str">
            <v>Saluto Rx</v>
          </cell>
          <cell r="N12">
            <v>3</v>
          </cell>
        </row>
        <row r="13">
          <cell r="A13" t="str">
            <v>YBR110</v>
          </cell>
          <cell r="N13">
            <v>2</v>
          </cell>
        </row>
        <row r="14">
          <cell r="A14" t="str">
            <v>N Max</v>
          </cell>
          <cell r="N14">
            <v>220</v>
          </cell>
        </row>
        <row r="15">
          <cell r="A15" t="str">
            <v>XC115B RAY Z</v>
          </cell>
          <cell r="N15">
            <v>70</v>
          </cell>
        </row>
        <row r="16">
          <cell r="A16" t="str">
            <v>RAY Z (NEW)</v>
          </cell>
          <cell r="N16">
            <v>879</v>
          </cell>
        </row>
        <row r="17">
          <cell r="A17" t="str">
            <v>XC115C FASCINO</v>
          </cell>
          <cell r="N17">
            <v>774</v>
          </cell>
        </row>
        <row r="18">
          <cell r="A18" t="str">
            <v>XC115F ALPHA</v>
          </cell>
          <cell r="N18">
            <v>35</v>
          </cell>
        </row>
        <row r="19">
          <cell r="A19" t="str">
            <v>XC115F ALPHA DISC</v>
          </cell>
          <cell r="N19">
            <v>374</v>
          </cell>
        </row>
        <row r="20">
          <cell r="A20" t="str">
            <v>XC115B RAY ZR(Drum)</v>
          </cell>
          <cell r="N20">
            <v>7628</v>
          </cell>
        </row>
        <row r="21">
          <cell r="A21" t="str">
            <v>XC115BD RAY ZR(Disk)</v>
          </cell>
          <cell r="N21">
            <v>12170</v>
          </cell>
        </row>
        <row r="22">
          <cell r="A22" t="str">
            <v>XC115BD RAY SR(Disk)</v>
          </cell>
          <cell r="N22">
            <v>9081</v>
          </cell>
        </row>
      </sheetData>
      <sheetData sheetId="7">
        <row r="1">
          <cell r="A1"/>
          <cell r="N1" t="str">
            <v>Total</v>
          </cell>
        </row>
        <row r="2">
          <cell r="A2" t="str">
            <v>YZF-R15</v>
          </cell>
          <cell r="N2">
            <v>169</v>
          </cell>
        </row>
        <row r="3">
          <cell r="A3" t="str">
            <v>R3</v>
          </cell>
          <cell r="N3">
            <v>15</v>
          </cell>
        </row>
        <row r="4">
          <cell r="A4" t="str">
            <v>FZN150 FZ ver.2</v>
          </cell>
          <cell r="N4">
            <v>6504</v>
          </cell>
        </row>
        <row r="5">
          <cell r="A5" t="str">
            <v>FZN150D FZS ver.2</v>
          </cell>
          <cell r="N5">
            <v>10415</v>
          </cell>
        </row>
        <row r="6">
          <cell r="A6" t="str">
            <v>FZN150D(Rear Disc.)</v>
          </cell>
          <cell r="N6">
            <v>1255</v>
          </cell>
        </row>
        <row r="7">
          <cell r="A7" t="str">
            <v>FZN250</v>
          </cell>
          <cell r="N7">
            <v>151</v>
          </cell>
        </row>
        <row r="8">
          <cell r="A8" t="str">
            <v>FZH150 FAZER ver.2</v>
          </cell>
          <cell r="N8">
            <v>1181</v>
          </cell>
        </row>
        <row r="9">
          <cell r="A9" t="str">
            <v>YC125-5 SALUTO DISK</v>
          </cell>
          <cell r="N9">
            <v>504</v>
          </cell>
        </row>
        <row r="10">
          <cell r="A10" t="str">
            <v>YBR110</v>
          </cell>
          <cell r="N10">
            <v>4</v>
          </cell>
        </row>
        <row r="11">
          <cell r="A11" t="str">
            <v>RAY Z (NEW)</v>
          </cell>
          <cell r="N11">
            <v>1497</v>
          </cell>
        </row>
        <row r="12">
          <cell r="A12" t="str">
            <v>XC115C FASCINO</v>
          </cell>
          <cell r="N12">
            <v>726</v>
          </cell>
        </row>
        <row r="13">
          <cell r="A13" t="str">
            <v>XC115F ALPHA</v>
          </cell>
          <cell r="N13">
            <v>99</v>
          </cell>
        </row>
        <row r="14">
          <cell r="A14" t="str">
            <v>XC115F ALPHA DISC</v>
          </cell>
          <cell r="N14">
            <v>537</v>
          </cell>
        </row>
        <row r="15">
          <cell r="A15" t="str">
            <v>XC115B RAY ZR(Drum)</v>
          </cell>
          <cell r="N15">
            <v>13647</v>
          </cell>
        </row>
        <row r="16">
          <cell r="A16" t="str">
            <v>XC115BD RAY ZR(Disk)</v>
          </cell>
          <cell r="N16">
            <v>16804</v>
          </cell>
        </row>
        <row r="17">
          <cell r="A17" t="str">
            <v>XC115BD RAY SR(Disk)</v>
          </cell>
          <cell r="N17">
            <v>2330</v>
          </cell>
        </row>
      </sheetData>
      <sheetData sheetId="8">
        <row r="1">
          <cell r="A1"/>
          <cell r="N1" t="str">
            <v>Total</v>
          </cell>
        </row>
        <row r="2">
          <cell r="A2" t="str">
            <v>YZF-R15</v>
          </cell>
          <cell r="N2">
            <v>91</v>
          </cell>
        </row>
        <row r="3">
          <cell r="A3" t="str">
            <v>XJ900PCZ6</v>
          </cell>
          <cell r="N3">
            <v>8</v>
          </cell>
        </row>
        <row r="4">
          <cell r="A4" t="str">
            <v>FZ16</v>
          </cell>
          <cell r="N4">
            <v>1</v>
          </cell>
        </row>
        <row r="5">
          <cell r="A5" t="str">
            <v>FZN150 FZ ver.2</v>
          </cell>
          <cell r="N5">
            <v>3606</v>
          </cell>
        </row>
        <row r="6">
          <cell r="A6" t="str">
            <v>FZN150D FZS ver.2</v>
          </cell>
          <cell r="N6">
            <v>9248</v>
          </cell>
        </row>
        <row r="7">
          <cell r="A7" t="str">
            <v>FZN250</v>
          </cell>
          <cell r="N7">
            <v>37</v>
          </cell>
        </row>
        <row r="8">
          <cell r="A8" t="str">
            <v>FZH150 FAZER ver.2</v>
          </cell>
          <cell r="N8">
            <v>1059</v>
          </cell>
        </row>
        <row r="9">
          <cell r="A9" t="str">
            <v>YC125-5 SALUTO DISK</v>
          </cell>
          <cell r="N9">
            <v>668</v>
          </cell>
        </row>
        <row r="10">
          <cell r="A10" t="str">
            <v>YBR110</v>
          </cell>
          <cell r="N10">
            <v>2</v>
          </cell>
        </row>
        <row r="11">
          <cell r="A11" t="str">
            <v>XC115B RAY Z</v>
          </cell>
          <cell r="N11">
            <v>29</v>
          </cell>
        </row>
        <row r="12">
          <cell r="A12" t="str">
            <v>RAY Z (NEW)</v>
          </cell>
          <cell r="N12">
            <v>119</v>
          </cell>
        </row>
        <row r="13">
          <cell r="A13" t="str">
            <v>XC115C FASCINO</v>
          </cell>
          <cell r="N13">
            <v>411</v>
          </cell>
        </row>
        <row r="14">
          <cell r="A14" t="str">
            <v>XC115F ALPHA</v>
          </cell>
          <cell r="N14">
            <v>223</v>
          </cell>
        </row>
        <row r="15">
          <cell r="A15" t="str">
            <v>XC115B RAY ZR(Drum)</v>
          </cell>
          <cell r="N15">
            <v>17074</v>
          </cell>
        </row>
        <row r="16">
          <cell r="A16" t="str">
            <v>XC115BD RAY ZR(Disk)</v>
          </cell>
          <cell r="N16">
            <v>7171</v>
          </cell>
        </row>
      </sheetData>
      <sheetData sheetId="9">
        <row r="1">
          <cell r="A1"/>
          <cell r="N1" t="str">
            <v>Total</v>
          </cell>
        </row>
        <row r="2">
          <cell r="A2" t="str">
            <v>FZ16</v>
          </cell>
          <cell r="N2">
            <v>4</v>
          </cell>
        </row>
        <row r="3">
          <cell r="A3" t="str">
            <v>FZ16S</v>
          </cell>
          <cell r="N3">
            <v>4</v>
          </cell>
        </row>
        <row r="4">
          <cell r="A4" t="str">
            <v>FZ16ST(FAZER)</v>
          </cell>
          <cell r="N4">
            <v>3</v>
          </cell>
        </row>
        <row r="5">
          <cell r="A5" t="str">
            <v>FZ合計</v>
          </cell>
          <cell r="N5">
            <v>11</v>
          </cell>
        </row>
        <row r="6">
          <cell r="A6" t="str">
            <v>FZN150</v>
          </cell>
          <cell r="N6">
            <v>3761</v>
          </cell>
        </row>
        <row r="7">
          <cell r="A7" t="str">
            <v>FZN150D</v>
          </cell>
          <cell r="N7">
            <v>7195</v>
          </cell>
        </row>
        <row r="8">
          <cell r="A8" t="str">
            <v>FZH150(FAZER)</v>
          </cell>
          <cell r="N8">
            <v>790</v>
          </cell>
        </row>
        <row r="9">
          <cell r="A9" t="str">
            <v>FZ合計</v>
          </cell>
          <cell r="N9">
            <v>11746</v>
          </cell>
        </row>
        <row r="10">
          <cell r="A10" t="str">
            <v>YZF-R15</v>
          </cell>
          <cell r="N10">
            <v>80</v>
          </cell>
        </row>
        <row r="11">
          <cell r="A11" t="str">
            <v>YC125-5</v>
          </cell>
          <cell r="N11">
            <v>1036</v>
          </cell>
        </row>
        <row r="12">
          <cell r="A12" t="str">
            <v>RAY Original</v>
          </cell>
          <cell r="N12">
            <v>21</v>
          </cell>
        </row>
        <row r="13">
          <cell r="A13" t="str">
            <v>XC115B</v>
          </cell>
          <cell r="N13">
            <v>3250</v>
          </cell>
        </row>
        <row r="14">
          <cell r="A14" t="str">
            <v>FASCINO</v>
          </cell>
          <cell r="N14">
            <v>702</v>
          </cell>
        </row>
        <row r="15">
          <cell r="A15" t="str">
            <v>RAY</v>
          </cell>
          <cell r="N15">
            <v>5</v>
          </cell>
        </row>
        <row r="16">
          <cell r="A16" t="str">
            <v>XC115F</v>
          </cell>
          <cell r="N16">
            <v>857</v>
          </cell>
        </row>
        <row r="17">
          <cell r="A17" t="str">
            <v>RAY ZR(Drum)</v>
          </cell>
          <cell r="N17">
            <v>5598</v>
          </cell>
        </row>
        <row r="18">
          <cell r="A18" t="str">
            <v>RAY ZR(Disk)</v>
          </cell>
          <cell r="N18">
            <v>507</v>
          </cell>
        </row>
      </sheetData>
      <sheetData sheetId="10">
        <row r="1">
          <cell r="A1"/>
          <cell r="N1" t="str">
            <v>Total</v>
          </cell>
        </row>
        <row r="2">
          <cell r="A2" t="str">
            <v>FZ16</v>
          </cell>
          <cell r="N2">
            <v>1505</v>
          </cell>
        </row>
        <row r="3">
          <cell r="A3" t="str">
            <v>FZ16S</v>
          </cell>
          <cell r="N3">
            <v>1557</v>
          </cell>
        </row>
        <row r="4">
          <cell r="A4" t="str">
            <v>FZ16ST(FAZER)</v>
          </cell>
          <cell r="N4">
            <v>195</v>
          </cell>
        </row>
        <row r="5">
          <cell r="A5" t="str">
            <v>FZ合計</v>
          </cell>
          <cell r="N5">
            <v>3257</v>
          </cell>
        </row>
        <row r="6">
          <cell r="A6" t="str">
            <v>FZN150</v>
          </cell>
          <cell r="N6">
            <v>2153</v>
          </cell>
        </row>
        <row r="7">
          <cell r="A7" t="str">
            <v>FZN150D</v>
          </cell>
          <cell r="N7">
            <v>3942</v>
          </cell>
        </row>
        <row r="8">
          <cell r="A8" t="str">
            <v>FZH150(FAZER)</v>
          </cell>
          <cell r="N8">
            <v>410</v>
          </cell>
        </row>
        <row r="9">
          <cell r="A9" t="str">
            <v>FZ合計</v>
          </cell>
          <cell r="N9">
            <v>6505</v>
          </cell>
        </row>
        <row r="10">
          <cell r="A10" t="str">
            <v>YZF-R15</v>
          </cell>
          <cell r="N10">
            <v>32</v>
          </cell>
        </row>
        <row r="11">
          <cell r="A11" t="str">
            <v>SZ X</v>
          </cell>
          <cell r="N11">
            <v>3</v>
          </cell>
        </row>
        <row r="12">
          <cell r="A12" t="str">
            <v>SZ R</v>
          </cell>
          <cell r="N12">
            <v>1</v>
          </cell>
        </row>
        <row r="13">
          <cell r="A13" t="str">
            <v>YC125-5</v>
          </cell>
          <cell r="N13">
            <v>115</v>
          </cell>
        </row>
        <row r="14">
          <cell r="A14" t="str">
            <v>XTZ 125E</v>
          </cell>
          <cell r="N14">
            <v>2</v>
          </cell>
        </row>
        <row r="15">
          <cell r="A15" t="str">
            <v>YBR110</v>
          </cell>
          <cell r="N15">
            <v>51</v>
          </cell>
        </row>
        <row r="16">
          <cell r="A16" t="str">
            <v>RAY Original</v>
          </cell>
          <cell r="N16">
            <v>1515</v>
          </cell>
        </row>
        <row r="17">
          <cell r="A17" t="str">
            <v>XC115B</v>
          </cell>
          <cell r="N17">
            <v>3965</v>
          </cell>
        </row>
        <row r="18">
          <cell r="A18" t="str">
            <v>XC115F</v>
          </cell>
          <cell r="N18">
            <v>1559</v>
          </cell>
        </row>
      </sheetData>
      <sheetData sheetId="11">
        <row r="1">
          <cell r="A1"/>
          <cell r="N1" t="str">
            <v>Total</v>
          </cell>
        </row>
        <row r="2">
          <cell r="A2" t="str">
            <v>YZ 250</v>
          </cell>
          <cell r="N2">
            <v>1</v>
          </cell>
        </row>
        <row r="3">
          <cell r="A3" t="str">
            <v>FZ16</v>
          </cell>
          <cell r="N3">
            <v>2313</v>
          </cell>
        </row>
        <row r="4">
          <cell r="A4" t="str">
            <v>FZ16S</v>
          </cell>
          <cell r="N4">
            <v>2569</v>
          </cell>
        </row>
        <row r="5">
          <cell r="A5" t="str">
            <v>FZ16ST(FAZER)</v>
          </cell>
          <cell r="N5">
            <v>313</v>
          </cell>
        </row>
        <row r="6">
          <cell r="A6" t="str">
            <v>FZ合計</v>
          </cell>
          <cell r="N6">
            <v>5195</v>
          </cell>
        </row>
        <row r="7">
          <cell r="A7" t="str">
            <v>YZF-R15</v>
          </cell>
          <cell r="N7">
            <v>5</v>
          </cell>
        </row>
        <row r="8">
          <cell r="A8" t="str">
            <v>SZ X</v>
          </cell>
          <cell r="N8">
            <v>322</v>
          </cell>
        </row>
        <row r="9">
          <cell r="A9" t="str">
            <v>SZ R</v>
          </cell>
          <cell r="N9">
            <v>105</v>
          </cell>
        </row>
        <row r="10">
          <cell r="A10" t="str">
            <v>XTZ 125E</v>
          </cell>
          <cell r="N10">
            <v>5</v>
          </cell>
        </row>
        <row r="11">
          <cell r="A11" t="str">
            <v>YZ 125</v>
          </cell>
          <cell r="N11">
            <v>3</v>
          </cell>
        </row>
        <row r="12">
          <cell r="A12" t="str">
            <v>YBR110</v>
          </cell>
          <cell r="N12">
            <v>3</v>
          </cell>
        </row>
        <row r="13">
          <cell r="A13" t="str">
            <v>RAY Original</v>
          </cell>
          <cell r="N13">
            <v>3291</v>
          </cell>
        </row>
        <row r="14">
          <cell r="A14" t="str">
            <v>XC115F</v>
          </cell>
          <cell r="N14">
            <v>55</v>
          </cell>
        </row>
      </sheetData>
      <sheetData sheetId="12">
        <row r="1">
          <cell r="A1"/>
          <cell r="N1" t="str">
            <v>Total</v>
          </cell>
        </row>
        <row r="2">
          <cell r="A2" t="str">
            <v>FZ16</v>
          </cell>
          <cell r="N2">
            <v>935</v>
          </cell>
        </row>
        <row r="3">
          <cell r="A3" t="str">
            <v>FZ16S</v>
          </cell>
          <cell r="N3">
            <v>982</v>
          </cell>
        </row>
        <row r="4">
          <cell r="A4" t="str">
            <v>FZ16ST(FAZER)</v>
          </cell>
          <cell r="N4">
            <v>144</v>
          </cell>
        </row>
        <row r="5">
          <cell r="A5" t="str">
            <v>FZ合計</v>
          </cell>
          <cell r="N5">
            <v>2061</v>
          </cell>
        </row>
        <row r="6">
          <cell r="A6" t="str">
            <v>SZ 16</v>
          </cell>
          <cell r="N6">
            <v>9</v>
          </cell>
        </row>
        <row r="7">
          <cell r="A7" t="str">
            <v>SZ X</v>
          </cell>
          <cell r="N7">
            <v>75</v>
          </cell>
        </row>
        <row r="8">
          <cell r="A8" t="str">
            <v>SZ R</v>
          </cell>
          <cell r="N8">
            <v>168</v>
          </cell>
        </row>
        <row r="9">
          <cell r="A9" t="str">
            <v>XTZ 125E</v>
          </cell>
          <cell r="N9">
            <v>2</v>
          </cell>
        </row>
        <row r="10">
          <cell r="A10" t="str">
            <v>YZ 125</v>
          </cell>
          <cell r="N10">
            <v>25</v>
          </cell>
        </row>
        <row r="11">
          <cell r="A11" t="str">
            <v>YBR125</v>
          </cell>
          <cell r="N11">
            <v>2</v>
          </cell>
        </row>
        <row r="12">
          <cell r="A12" t="str">
            <v>RAY Original</v>
          </cell>
          <cell r="N12">
            <v>1741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45945B-39CE-4F94-AF6E-D46EE36DF987}" name="Table1" displayName="Table1" ref="A1:W57" totalsRowShown="0" headerRowDxfId="25">
  <autoFilter ref="A1:W57" xr:uid="{B57394C0-5879-4CDB-A981-FC2D53A7CB62}"/>
  <tableColumns count="23">
    <tableColumn id="1" xr3:uid="{985B2831-CAD9-420F-AB54-2B90BA40BBD8}" name="Model" dataDxfId="24"/>
    <tableColumn id="2" xr3:uid="{E98B6757-194E-49DC-8B50-5F10BA5ABE32}" name="2013" dataDxfId="23">
      <calculatedColumnFormula>_xlfn.XLOOKUP(A2,'[1]2013'!A:A,'[1]2013'!N:N,"-")</calculatedColumnFormula>
    </tableColumn>
    <tableColumn id="3" xr3:uid="{7C6A3E1E-AC6A-4566-AB80-97AD8D94A9CA}" name="2013(20%)" dataDxfId="22">
      <calculatedColumnFormula>B2*0.2</calculatedColumnFormula>
    </tableColumn>
    <tableColumn id="4" xr3:uid="{D9FB4D8F-BF0A-4BDF-B0F9-C7FDA10B721B}" name="2014" dataDxfId="21">
      <calculatedColumnFormula>_xlfn.XLOOKUP(A2,'[1]2014'!A:A,'[1]2014'!N:N,"-")</calculatedColumnFormula>
    </tableColumn>
    <tableColumn id="5" xr3:uid="{6F7A3B83-D2A4-4B51-AE04-A0270AFCFBD6}" name="2014(20%)" dataDxfId="20">
      <calculatedColumnFormula>D2*0.2</calculatedColumnFormula>
    </tableColumn>
    <tableColumn id="6" xr3:uid="{B8364813-9E4D-45F5-9C93-E7FA191BB2D6}" name="2015" dataDxfId="19">
      <calculatedColumnFormula>_xlfn.XLOOKUP(A2,'[1]2015'!A:A,'[1]2015'!N:N,"-")</calculatedColumnFormula>
    </tableColumn>
    <tableColumn id="7" xr3:uid="{6CDE4160-E4A1-4461-9349-A0E05F3E28A8}" name="2015(20%)" dataDxfId="18">
      <calculatedColumnFormula>F2*0.2</calculatedColumnFormula>
    </tableColumn>
    <tableColumn id="8" xr3:uid="{F14C0DD5-3A17-457E-86DD-EBE5AAF54C48}" name="2016" dataDxfId="17">
      <calculatedColumnFormula>_xlfn.XLOOKUP(A2,'[1]2016'!A:A,'[1]2016'!N:N,"-")</calculatedColumnFormula>
    </tableColumn>
    <tableColumn id="9" xr3:uid="{AECDD3D1-8AEC-47CE-8E23-62FEBCD7BA2E}" name="2016(20%)" dataDxfId="16">
      <calculatedColumnFormula>H2*0.2</calculatedColumnFormula>
    </tableColumn>
    <tableColumn id="10" xr3:uid="{B01BC41B-B621-49CB-A154-403344C0EE6D}" name="2017" dataDxfId="15">
      <calculatedColumnFormula>_xlfn.XLOOKUP(A2,'[1]2017'!A:A,'[1]2017'!N:N,"-")</calculatedColumnFormula>
    </tableColumn>
    <tableColumn id="11" xr3:uid="{73BEFA0E-B93C-4DDE-BFC1-F33695671C5F}" name="2017(60%)" dataDxfId="14">
      <calculatedColumnFormula>J2*0.6</calculatedColumnFormula>
    </tableColumn>
    <tableColumn id="12" xr3:uid="{2A29EE6D-16E1-472B-9EFF-D744B30C0999}" name="2018" dataDxfId="13">
      <calculatedColumnFormula>_xlfn.XLOOKUP(A2,'[1]2018'!A:A,'[1]2018'!N:N,"-")</calculatedColumnFormula>
    </tableColumn>
    <tableColumn id="13" xr3:uid="{3984961B-C9DE-4EBB-8911-A193E89F9E4D}" name="2018(60%)" dataDxfId="12">
      <calculatedColumnFormula>L2*0.6</calculatedColumnFormula>
    </tableColumn>
    <tableColumn id="14" xr3:uid="{EA1CE52F-1A12-47D4-97FB-69BEC0D6C939}" name="2019" dataDxfId="11">
      <calculatedColumnFormula>_xlfn.XLOOKUP(A2,'[1]2019'!A:A,'[1]2019'!N:N,"-")</calculatedColumnFormula>
    </tableColumn>
    <tableColumn id="15" xr3:uid="{16C20D38-8913-4FFE-883D-DDB35A057479}" name="2019(60%)" dataDxfId="10">
      <calculatedColumnFormula>N2*0.6</calculatedColumnFormula>
    </tableColumn>
    <tableColumn id="16" xr3:uid="{496DF28F-6AE9-4AD6-BA12-D6BA5641CC86}" name="2020" dataDxfId="9">
      <calculatedColumnFormula>_xlfn.XLOOKUP(A2,'[1]2020'!A:A,'[1]2020'!N:N,"-")</calculatedColumnFormula>
    </tableColumn>
    <tableColumn id="17" xr3:uid="{4B33050E-03B1-4F00-85C2-237822056C04}" name="2020(60%)" dataDxfId="8">
      <calculatedColumnFormula>P2*0.6</calculatedColumnFormula>
    </tableColumn>
    <tableColumn id="18" xr3:uid="{6BB2A3BD-27FD-4DBB-812A-36FFAF0459CC}" name="2021" dataDxfId="7">
      <calculatedColumnFormula>_xlfn.XLOOKUP(A2,'[1]2021'!A:A,'[1]2021'!N:N,"-")</calculatedColumnFormula>
    </tableColumn>
    <tableColumn id="19" xr3:uid="{54BE3563-893A-48FF-AE94-81801B9819E7}" name="2021(60%)" dataDxfId="6">
      <calculatedColumnFormula>R2*0.6</calculatedColumnFormula>
    </tableColumn>
    <tableColumn id="20" xr3:uid="{44B4F2E1-0CC7-4E72-BC47-C0A25438D1D1}" name="2025" dataDxfId="5">
      <calculatedColumnFormula>_xlfn.XLOOKUP(A2,'[1]2025'!A:A,'[1]2025'!N:N,"-")</calculatedColumnFormula>
    </tableColumn>
    <tableColumn id="21" xr3:uid="{0CC32347-F1BE-444E-8E88-82AAA9861C70}" name="2025(2%)" dataDxfId="4">
      <calculatedColumnFormula>T2*0.98</calculatedColumnFormula>
    </tableColumn>
    <tableColumn id="22" xr3:uid="{390C4C21-3CDE-437E-9659-31973B3FE0A1}" name="Total Sales Units" dataDxfId="3">
      <calculatedColumnFormula>Table1[[#This Row],[2013]]+Table1[[#This Row],[2014]]+Table1[[#This Row],[2015]]+Table1[[#This Row],[2016]]+Table1[[#This Row],[2017]]+Table1[[#This Row],[2018]]+Table1[[#This Row],[2019]]+Table1[[#This Row],[2020]]+Table1[[#This Row],[2021]]+Table1[[#This Row],[2025]]</calculatedColumnFormula>
    </tableColumn>
    <tableColumn id="23" xr3:uid="{662A34E4-621D-4DB2-AB2A-E968256B3186}" name="UIO" dataDxfId="2">
      <calculatedColumnFormula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91D3F4-2D6B-4FA0-AE48-53779910B73B}" name="Table13" displayName="Table13" ref="A1:W57" totalsRowShown="0" headerRowDxfId="49">
  <autoFilter ref="A1:W57" xr:uid="{A491D3F4-2D6B-4FA0-AE48-53779910B73B}"/>
  <tableColumns count="23">
    <tableColumn id="1" xr3:uid="{983F440F-5980-4A3E-BB50-4A822757DB28}" name="Model" dataDxfId="48"/>
    <tableColumn id="2" xr3:uid="{6B93E7C1-FAF8-4700-9D92-CFC83E20FCD5}" name="2013" dataDxfId="47">
      <calculatedColumnFormula>_xlfn.XLOOKUP(A2,'[1]2013'!A:A,'[1]2013'!N:N,"-")</calculatedColumnFormula>
    </tableColumn>
    <tableColumn id="3" xr3:uid="{E1AE069D-28C7-44AD-86EC-A6F130665965}" name="2013(20%)" dataDxfId="46">
      <calculatedColumnFormula>B2*0.2</calculatedColumnFormula>
    </tableColumn>
    <tableColumn id="4" xr3:uid="{AF56B1F4-CE7D-49D7-BB85-792556EE5C67}" name="2014" dataDxfId="45">
      <calculatedColumnFormula>_xlfn.XLOOKUP(A2,'[1]2014'!A:A,'[1]2014'!N:N,"-")</calculatedColumnFormula>
    </tableColumn>
    <tableColumn id="5" xr3:uid="{4201956A-2786-4E21-A589-8C07ADD0FB92}" name="2014(30%)" dataDxfId="44">
      <calculatedColumnFormula>D2*0.3</calculatedColumnFormula>
    </tableColumn>
    <tableColumn id="6" xr3:uid="{756AD421-1D58-4ADB-B1D5-AC43945A1E3B}" name="2015" dataDxfId="43">
      <calculatedColumnFormula>_xlfn.XLOOKUP(A2,'[1]2015'!A:A,'[1]2015'!N:N,"-")</calculatedColumnFormula>
    </tableColumn>
    <tableColumn id="7" xr3:uid="{9FAF08B3-4C91-4EDE-B696-35359E5B0420}" name="2015(30%)" dataDxfId="42">
      <calculatedColumnFormula>F2*0.3</calculatedColumnFormula>
    </tableColumn>
    <tableColumn id="8" xr3:uid="{E42EB4B2-CE92-47FB-ACD9-4ED6E83515F8}" name="2016" dataDxfId="41">
      <calculatedColumnFormula>_xlfn.XLOOKUP(A2,'[1]2016'!A:A,'[1]2016'!N:N,"-")</calculatedColumnFormula>
    </tableColumn>
    <tableColumn id="9" xr3:uid="{4EF068BB-40F5-4194-B462-F8E6CECF2D26}" name="2016(60%)" dataDxfId="40">
      <calculatedColumnFormula>H2*0.6</calculatedColumnFormula>
    </tableColumn>
    <tableColumn id="10" xr3:uid="{946F0E0F-515D-4C8B-B1BF-C9E8A92688EA}" name="2017" dataDxfId="39">
      <calculatedColumnFormula>_xlfn.XLOOKUP(A2,'[1]2017'!A:A,'[1]2017'!N:N,"-")</calculatedColumnFormula>
    </tableColumn>
    <tableColumn id="11" xr3:uid="{045F7699-C5AF-4E6C-BA95-57EA7F758613}" name="2017(60%)" dataDxfId="38">
      <calculatedColumnFormula>J2*0.6</calculatedColumnFormula>
    </tableColumn>
    <tableColumn id="12" xr3:uid="{942F1937-B8AB-4D84-B482-BF64369E2B9D}" name="2018" dataDxfId="37">
      <calculatedColumnFormula>_xlfn.XLOOKUP(A2,'[1]2018'!A:A,'[1]2018'!N:N,"-")</calculatedColumnFormula>
    </tableColumn>
    <tableColumn id="13" xr3:uid="{E53C4707-5548-4029-AC1A-D276D96378F5}" name="2018(60%)" dataDxfId="36">
      <calculatedColumnFormula>L2*0.6</calculatedColumnFormula>
    </tableColumn>
    <tableColumn id="14" xr3:uid="{C4D00109-06E8-4312-BAFA-B6005B57A839}" name="2019" dataDxfId="35">
      <calculatedColumnFormula>_xlfn.XLOOKUP(A2,'[1]2019'!A:A,'[1]2019'!N:N,"-")</calculatedColumnFormula>
    </tableColumn>
    <tableColumn id="15" xr3:uid="{EA439AFF-FE29-4BB1-A19D-4BEDFE1F9806}" name="2019(60%)" dataDxfId="34">
      <calculatedColumnFormula>N2*0.6</calculatedColumnFormula>
    </tableColumn>
    <tableColumn id="16" xr3:uid="{9F88308F-EB09-48D6-9319-68A1D341E823}" name="2020" dataDxfId="33">
      <calculatedColumnFormula>_xlfn.XLOOKUP(A2,'[1]2020'!A:A,'[1]2020'!N:N,"-")</calculatedColumnFormula>
    </tableColumn>
    <tableColumn id="17" xr3:uid="{0485BDBA-103E-4A58-B7A8-73D686477F04}" name="2020(60%)" dataDxfId="32">
      <calculatedColumnFormula>P2*0.6</calculatedColumnFormula>
    </tableColumn>
    <tableColumn id="18" xr3:uid="{1896CA79-D4A3-426E-B0D4-829BB24326D1}" name="2021" dataDxfId="31">
      <calculatedColumnFormula>_xlfn.XLOOKUP(A2,'[1]2021'!A:A,'[1]2021'!N:N,"-")</calculatedColumnFormula>
    </tableColumn>
    <tableColumn id="19" xr3:uid="{FB6C257F-E447-4F1C-8C4E-258125E208AC}" name="2021(60%)" dataDxfId="30">
      <calculatedColumnFormula>R2*0.6</calculatedColumnFormula>
    </tableColumn>
    <tableColumn id="20" xr3:uid="{8F6D6200-93C6-4E8B-9294-7F011D75FC3E}" name="2025" dataDxfId="29">
      <calculatedColumnFormula>_xlfn.XLOOKUP(A2,'[1]2025'!A:A,'[1]2025'!N:N,"-")</calculatedColumnFormula>
    </tableColumn>
    <tableColumn id="21" xr3:uid="{360D286C-5383-4FD8-A02A-0CEEC41B72A1}" name="2025(2%)" dataDxfId="28">
      <calculatedColumnFormula>T2*0.98</calculatedColumnFormula>
    </tableColumn>
    <tableColumn id="22" xr3:uid="{3B958EC8-B7D1-423C-81DC-88B2BC0F35AB}" name="Total Sales Units" dataDxfId="27">
      <calculatedColumnFormula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calculatedColumnFormula>
    </tableColumn>
    <tableColumn id="23" xr3:uid="{A33FFA05-29F8-4DD2-9423-B9B8CE18488E}" name="UIO" dataDxfId="26">
      <calculatedColumnFormula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94C0-5879-4CDB-A981-FC2D53A7CB62}">
  <dimension ref="A1:W57"/>
  <sheetViews>
    <sheetView tabSelected="1" topLeftCell="I1" workbookViewId="0">
      <selection activeCell="V58" sqref="V58"/>
    </sheetView>
  </sheetViews>
  <sheetFormatPr defaultRowHeight="14.5" x14ac:dyDescent="0.35"/>
  <cols>
    <col min="1" max="1" width="19.90625" customWidth="1"/>
    <col min="3" max="3" width="11.6328125" customWidth="1"/>
    <col min="5" max="5" width="11.6328125" customWidth="1"/>
    <col min="7" max="7" width="11.6328125" customWidth="1"/>
    <col min="9" max="9" width="11.6328125" customWidth="1"/>
    <col min="11" max="11" width="11.6328125" customWidth="1"/>
    <col min="13" max="13" width="11.6328125" customWidth="1"/>
    <col min="15" max="15" width="11.6328125" customWidth="1"/>
    <col min="17" max="17" width="11.6328125" customWidth="1"/>
    <col min="19" max="19" width="11.6328125" customWidth="1"/>
    <col min="21" max="21" width="10.6328125" customWidth="1"/>
    <col min="22" max="22" width="16.6328125" customWidth="1"/>
    <col min="23" max="23" width="11.26953125" customWidth="1"/>
  </cols>
  <sheetData>
    <row r="1" spans="1:23" x14ac:dyDescent="0.35">
      <c r="A1" s="6" t="s">
        <v>0</v>
      </c>
      <c r="B1" s="3" t="s">
        <v>68</v>
      </c>
      <c r="C1" s="4" t="s">
        <v>58</v>
      </c>
      <c r="D1" s="3" t="s">
        <v>69</v>
      </c>
      <c r="E1" s="4" t="s">
        <v>81</v>
      </c>
      <c r="F1" s="3" t="s">
        <v>70</v>
      </c>
      <c r="G1" s="4" t="s">
        <v>82</v>
      </c>
      <c r="H1" s="3" t="s">
        <v>71</v>
      </c>
      <c r="I1" s="4" t="s">
        <v>83</v>
      </c>
      <c r="J1" s="3" t="s">
        <v>72</v>
      </c>
      <c r="K1" s="4" t="s">
        <v>62</v>
      </c>
      <c r="L1" s="3" t="s">
        <v>73</v>
      </c>
      <c r="M1" s="4" t="s">
        <v>63</v>
      </c>
      <c r="N1" s="3" t="s">
        <v>74</v>
      </c>
      <c r="O1" s="4" t="s">
        <v>64</v>
      </c>
      <c r="P1" s="3" t="s">
        <v>75</v>
      </c>
      <c r="Q1" s="4" t="s">
        <v>65</v>
      </c>
      <c r="R1" s="3" t="s">
        <v>76</v>
      </c>
      <c r="S1" s="4" t="s">
        <v>66</v>
      </c>
      <c r="T1" s="3" t="s">
        <v>77</v>
      </c>
      <c r="U1" s="4" t="s">
        <v>67</v>
      </c>
      <c r="V1" s="6" t="s">
        <v>1</v>
      </c>
      <c r="W1" s="9" t="s">
        <v>78</v>
      </c>
    </row>
    <row r="2" spans="1:23" x14ac:dyDescent="0.35">
      <c r="A2" s="5" t="s">
        <v>2</v>
      </c>
      <c r="B2" s="1">
        <f>_xlfn.XLOOKUP(A2,'[1]2013'!A:A,'[1]2013'!N:N,"-")</f>
        <v>935</v>
      </c>
      <c r="C2" s="2">
        <f>B2*0.2</f>
        <v>187</v>
      </c>
      <c r="D2" s="1">
        <f>_xlfn.XLOOKUP(A2,'[1]2014'!A:A,'[1]2014'!N:N,"-")</f>
        <v>2313</v>
      </c>
      <c r="E2" s="2">
        <f t="shared" ref="E2:E57" si="0">D2*0.2</f>
        <v>462.6</v>
      </c>
      <c r="F2" s="1">
        <f>_xlfn.XLOOKUP(A2,'[1]2015'!A:A,'[1]2015'!N:N,"-")</f>
        <v>1505</v>
      </c>
      <c r="G2" s="2">
        <f t="shared" ref="G2:G57" si="1">F2*0.2</f>
        <v>301</v>
      </c>
      <c r="H2" s="1">
        <f>_xlfn.XLOOKUP(A2,'[1]2016'!A:A,'[1]2016'!N:N,"-")</f>
        <v>4</v>
      </c>
      <c r="I2" s="2">
        <f t="shared" ref="I2:I33" si="2">H2*0.2</f>
        <v>0.8</v>
      </c>
      <c r="J2" s="1">
        <f>_xlfn.XLOOKUP(A2,'[1]2017'!A:A,'[1]2017'!N:N,"-")</f>
        <v>1</v>
      </c>
      <c r="K2" s="2">
        <f>J2*0.6</f>
        <v>0.6</v>
      </c>
      <c r="L2" s="1">
        <v>0</v>
      </c>
      <c r="M2" s="2">
        <f>L2*0.6</f>
        <v>0</v>
      </c>
      <c r="N2" s="1">
        <v>0</v>
      </c>
      <c r="O2" s="2">
        <f>N2*0.6</f>
        <v>0</v>
      </c>
      <c r="P2" s="1">
        <v>0</v>
      </c>
      <c r="Q2" s="2">
        <f>P2*0.6</f>
        <v>0</v>
      </c>
      <c r="R2" s="1">
        <v>0</v>
      </c>
      <c r="S2" s="2">
        <f>R2*0.6</f>
        <v>0</v>
      </c>
      <c r="T2" s="1">
        <v>0</v>
      </c>
      <c r="U2" s="2">
        <f>T2*0.98</f>
        <v>0</v>
      </c>
      <c r="V2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4758</v>
      </c>
      <c r="W2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952</v>
      </c>
    </row>
    <row r="3" spans="1:23" x14ac:dyDescent="0.35">
      <c r="A3" s="5" t="s">
        <v>3</v>
      </c>
      <c r="B3" s="1">
        <f>_xlfn.XLOOKUP(A3,'[1]2013'!A:A,'[1]2013'!N:N,"-")</f>
        <v>982</v>
      </c>
      <c r="C3" s="2">
        <f t="shared" ref="C3:C57" si="3">B3*0.2</f>
        <v>196.4</v>
      </c>
      <c r="D3" s="1">
        <f>_xlfn.XLOOKUP(A3,'[1]2014'!A:A,'[1]2014'!N:N,"-")</f>
        <v>2569</v>
      </c>
      <c r="E3" s="2">
        <f t="shared" si="0"/>
        <v>513.80000000000007</v>
      </c>
      <c r="F3" s="1">
        <f>_xlfn.XLOOKUP(A3,'[1]2015'!A:A,'[1]2015'!N:N,"-")</f>
        <v>1557</v>
      </c>
      <c r="G3" s="2">
        <f t="shared" si="1"/>
        <v>311.40000000000003</v>
      </c>
      <c r="H3" s="1">
        <f>_xlfn.XLOOKUP(A3,'[1]2016'!A:A,'[1]2016'!N:N,"-")</f>
        <v>4</v>
      </c>
      <c r="I3" s="2">
        <f t="shared" si="2"/>
        <v>0.8</v>
      </c>
      <c r="J3" s="1">
        <v>0</v>
      </c>
      <c r="K3" s="2">
        <f t="shared" ref="K3:K57" si="4">J3*0.6</f>
        <v>0</v>
      </c>
      <c r="L3" s="1">
        <v>0</v>
      </c>
      <c r="M3" s="2">
        <f t="shared" ref="M3:M57" si="5">L3*0.6</f>
        <v>0</v>
      </c>
      <c r="N3" s="1">
        <v>0</v>
      </c>
      <c r="O3" s="2">
        <f t="shared" ref="O3:O57" si="6">N3*0.6</f>
        <v>0</v>
      </c>
      <c r="P3" s="1">
        <v>0</v>
      </c>
      <c r="Q3" s="2">
        <f t="shared" ref="Q3:Q57" si="7">P3*0.6</f>
        <v>0</v>
      </c>
      <c r="R3" s="1">
        <v>0</v>
      </c>
      <c r="S3" s="2">
        <f t="shared" ref="S3:S57" si="8">R3*0.6</f>
        <v>0</v>
      </c>
      <c r="T3" s="1">
        <v>0</v>
      </c>
      <c r="U3" s="2">
        <f t="shared" ref="U3:U57" si="9">T3*0.98</f>
        <v>0</v>
      </c>
      <c r="V3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5112</v>
      </c>
      <c r="W3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1022.4000000000001</v>
      </c>
    </row>
    <row r="4" spans="1:23" x14ac:dyDescent="0.35">
      <c r="A4" s="5" t="s">
        <v>4</v>
      </c>
      <c r="B4" s="1">
        <f>_xlfn.XLOOKUP(A4,'[1]2013'!A:A,'[1]2013'!N:N,"-")</f>
        <v>144</v>
      </c>
      <c r="C4" s="2">
        <f t="shared" si="3"/>
        <v>28.8</v>
      </c>
      <c r="D4" s="1">
        <f>_xlfn.XLOOKUP(A4,'[1]2014'!A:A,'[1]2014'!N:N,"-")</f>
        <v>313</v>
      </c>
      <c r="E4" s="2">
        <f t="shared" si="0"/>
        <v>62.6</v>
      </c>
      <c r="F4" s="1">
        <f>_xlfn.XLOOKUP(A4,'[1]2015'!A:A,'[1]2015'!N:N,"-")</f>
        <v>195</v>
      </c>
      <c r="G4" s="2">
        <f t="shared" si="1"/>
        <v>39</v>
      </c>
      <c r="H4" s="1">
        <f>_xlfn.XLOOKUP(A4,'[1]2016'!A:A,'[1]2016'!N:N,"-")</f>
        <v>3</v>
      </c>
      <c r="I4" s="2">
        <f t="shared" si="2"/>
        <v>0.60000000000000009</v>
      </c>
      <c r="J4" s="1">
        <v>0</v>
      </c>
      <c r="K4" s="2">
        <f t="shared" si="4"/>
        <v>0</v>
      </c>
      <c r="L4" s="1">
        <v>0</v>
      </c>
      <c r="M4" s="2">
        <f t="shared" si="5"/>
        <v>0</v>
      </c>
      <c r="N4" s="1">
        <v>0</v>
      </c>
      <c r="O4" s="2">
        <f t="shared" si="6"/>
        <v>0</v>
      </c>
      <c r="P4" s="1">
        <v>0</v>
      </c>
      <c r="Q4" s="2">
        <f t="shared" si="7"/>
        <v>0</v>
      </c>
      <c r="R4" s="1">
        <v>0</v>
      </c>
      <c r="S4" s="2">
        <f t="shared" si="8"/>
        <v>0</v>
      </c>
      <c r="T4" s="1">
        <v>0</v>
      </c>
      <c r="U4" s="2">
        <f t="shared" si="9"/>
        <v>0</v>
      </c>
      <c r="V4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655</v>
      </c>
      <c r="W4" s="8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131</v>
      </c>
    </row>
    <row r="5" spans="1:23" x14ac:dyDescent="0.35">
      <c r="A5" s="5" t="s">
        <v>5</v>
      </c>
      <c r="B5" s="1">
        <f>_xlfn.XLOOKUP(A5,'[1]2013'!A:A,'[1]2013'!N:N,"-")</f>
        <v>2061</v>
      </c>
      <c r="C5" s="2">
        <f t="shared" si="3"/>
        <v>412.20000000000005</v>
      </c>
      <c r="D5" s="1">
        <f>_xlfn.XLOOKUP(A5,'[1]2014'!A:A,'[1]2014'!N:N,"-")</f>
        <v>5195</v>
      </c>
      <c r="E5" s="2">
        <f t="shared" si="0"/>
        <v>1039</v>
      </c>
      <c r="F5" s="1">
        <f>_xlfn.XLOOKUP(A5,'[1]2015'!A:A,'[1]2015'!N:N,"-")</f>
        <v>3257</v>
      </c>
      <c r="G5" s="2">
        <f t="shared" si="1"/>
        <v>651.40000000000009</v>
      </c>
      <c r="H5" s="1">
        <f>_xlfn.XLOOKUP(A5,'[1]2016'!A:A,'[1]2016'!N:N,"-")</f>
        <v>11</v>
      </c>
      <c r="I5" s="2">
        <f t="shared" si="2"/>
        <v>2.2000000000000002</v>
      </c>
      <c r="J5" s="1">
        <v>0</v>
      </c>
      <c r="K5" s="2">
        <f t="shared" si="4"/>
        <v>0</v>
      </c>
      <c r="L5" s="1">
        <v>0</v>
      </c>
      <c r="M5" s="2">
        <f t="shared" si="5"/>
        <v>0</v>
      </c>
      <c r="N5" s="1">
        <v>0</v>
      </c>
      <c r="O5" s="2">
        <f t="shared" si="6"/>
        <v>0</v>
      </c>
      <c r="P5" s="1">
        <v>0</v>
      </c>
      <c r="Q5" s="2">
        <f t="shared" si="7"/>
        <v>0</v>
      </c>
      <c r="R5" s="1">
        <v>0</v>
      </c>
      <c r="S5" s="2">
        <f t="shared" si="8"/>
        <v>0</v>
      </c>
      <c r="T5" s="1">
        <v>0</v>
      </c>
      <c r="U5" s="2">
        <f t="shared" si="9"/>
        <v>0</v>
      </c>
      <c r="V5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10524</v>
      </c>
      <c r="W5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2104.8000000000002</v>
      </c>
    </row>
    <row r="6" spans="1:23" x14ac:dyDescent="0.35">
      <c r="A6" s="5" t="s">
        <v>6</v>
      </c>
      <c r="B6" s="1">
        <f>_xlfn.XLOOKUP(A6,'[1]2013'!A:A,'[1]2013'!N:N,"-")</f>
        <v>9</v>
      </c>
      <c r="C6" s="2">
        <f t="shared" si="3"/>
        <v>1.8</v>
      </c>
      <c r="D6" s="1">
        <v>0</v>
      </c>
      <c r="E6" s="2">
        <f t="shared" si="0"/>
        <v>0</v>
      </c>
      <c r="F6" s="1">
        <v>0</v>
      </c>
      <c r="G6" s="2">
        <f t="shared" si="1"/>
        <v>0</v>
      </c>
      <c r="H6" s="1">
        <v>0</v>
      </c>
      <c r="I6" s="2">
        <f t="shared" si="2"/>
        <v>0</v>
      </c>
      <c r="J6" s="1">
        <v>0</v>
      </c>
      <c r="K6" s="2">
        <f t="shared" si="4"/>
        <v>0</v>
      </c>
      <c r="L6" s="1">
        <v>0</v>
      </c>
      <c r="M6" s="2">
        <f t="shared" si="5"/>
        <v>0</v>
      </c>
      <c r="N6" s="1">
        <v>0</v>
      </c>
      <c r="O6" s="2">
        <f t="shared" si="6"/>
        <v>0</v>
      </c>
      <c r="P6" s="1">
        <v>0</v>
      </c>
      <c r="Q6" s="2">
        <f t="shared" si="7"/>
        <v>0</v>
      </c>
      <c r="R6" s="1">
        <v>0</v>
      </c>
      <c r="S6" s="2">
        <f t="shared" si="8"/>
        <v>0</v>
      </c>
      <c r="T6" s="1">
        <v>0</v>
      </c>
      <c r="U6" s="2">
        <f t="shared" si="9"/>
        <v>0</v>
      </c>
      <c r="V6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9</v>
      </c>
      <c r="W6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1.8</v>
      </c>
    </row>
    <row r="7" spans="1:23" x14ac:dyDescent="0.35">
      <c r="A7" s="5" t="s">
        <v>7</v>
      </c>
      <c r="B7" s="1">
        <f>_xlfn.XLOOKUP(A7,'[1]2013'!A:A,'[1]2013'!N:N,"-")</f>
        <v>75</v>
      </c>
      <c r="C7" s="2">
        <f t="shared" si="3"/>
        <v>15</v>
      </c>
      <c r="D7" s="1">
        <f>_xlfn.XLOOKUP(A7,'[1]2014'!A:A,'[1]2014'!N:N,"-")</f>
        <v>322</v>
      </c>
      <c r="E7" s="2">
        <f t="shared" si="0"/>
        <v>64.400000000000006</v>
      </c>
      <c r="F7" s="1">
        <f>_xlfn.XLOOKUP(A7,'[1]2015'!A:A,'[1]2015'!N:N,"-")</f>
        <v>3</v>
      </c>
      <c r="G7" s="2">
        <f t="shared" si="1"/>
        <v>0.60000000000000009</v>
      </c>
      <c r="H7" s="1">
        <v>0</v>
      </c>
      <c r="I7" s="2">
        <f t="shared" si="2"/>
        <v>0</v>
      </c>
      <c r="J7" s="1">
        <v>0</v>
      </c>
      <c r="K7" s="2">
        <f t="shared" si="4"/>
        <v>0</v>
      </c>
      <c r="L7" s="1">
        <v>0</v>
      </c>
      <c r="M7" s="2">
        <f t="shared" si="5"/>
        <v>0</v>
      </c>
      <c r="N7" s="1">
        <v>0</v>
      </c>
      <c r="O7" s="2">
        <f t="shared" si="6"/>
        <v>0</v>
      </c>
      <c r="P7" s="1">
        <v>0</v>
      </c>
      <c r="Q7" s="2">
        <f t="shared" si="7"/>
        <v>0</v>
      </c>
      <c r="R7" s="1">
        <v>0</v>
      </c>
      <c r="S7" s="2">
        <f t="shared" si="8"/>
        <v>0</v>
      </c>
      <c r="T7" s="1">
        <v>0</v>
      </c>
      <c r="U7" s="2">
        <f t="shared" si="9"/>
        <v>0</v>
      </c>
      <c r="V7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400</v>
      </c>
      <c r="W7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80</v>
      </c>
    </row>
    <row r="8" spans="1:23" x14ac:dyDescent="0.35">
      <c r="A8" s="5" t="s">
        <v>8</v>
      </c>
      <c r="B8" s="1">
        <f>_xlfn.XLOOKUP(A8,'[1]2013'!A:A,'[1]2013'!N:N,"-")</f>
        <v>168</v>
      </c>
      <c r="C8" s="2">
        <f t="shared" si="3"/>
        <v>33.6</v>
      </c>
      <c r="D8" s="1">
        <f>_xlfn.XLOOKUP(A8,'[1]2014'!A:A,'[1]2014'!N:N,"-")</f>
        <v>105</v>
      </c>
      <c r="E8" s="2">
        <f t="shared" si="0"/>
        <v>21</v>
      </c>
      <c r="F8" s="1">
        <f>_xlfn.XLOOKUP(A8,'[1]2015'!A:A,'[1]2015'!N:N,"-")</f>
        <v>1</v>
      </c>
      <c r="G8" s="2">
        <f t="shared" si="1"/>
        <v>0.2</v>
      </c>
      <c r="H8" s="1">
        <v>0</v>
      </c>
      <c r="I8" s="2">
        <f t="shared" si="2"/>
        <v>0</v>
      </c>
      <c r="J8" s="1">
        <v>0</v>
      </c>
      <c r="K8" s="2">
        <f t="shared" si="4"/>
        <v>0</v>
      </c>
      <c r="L8" s="1">
        <v>0</v>
      </c>
      <c r="M8" s="2">
        <f t="shared" si="5"/>
        <v>0</v>
      </c>
      <c r="N8" s="1">
        <v>0</v>
      </c>
      <c r="O8" s="2">
        <f t="shared" si="6"/>
        <v>0</v>
      </c>
      <c r="P8" s="1">
        <v>0</v>
      </c>
      <c r="Q8" s="2">
        <f t="shared" si="7"/>
        <v>0</v>
      </c>
      <c r="R8" s="1">
        <v>0</v>
      </c>
      <c r="S8" s="2">
        <f t="shared" si="8"/>
        <v>0</v>
      </c>
      <c r="T8" s="1">
        <v>0</v>
      </c>
      <c r="U8" s="2">
        <f t="shared" si="9"/>
        <v>0</v>
      </c>
      <c r="V8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274</v>
      </c>
      <c r="W8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54.800000000000004</v>
      </c>
    </row>
    <row r="9" spans="1:23" x14ac:dyDescent="0.35">
      <c r="A9" s="5" t="s">
        <v>9</v>
      </c>
      <c r="B9" s="1">
        <f>_xlfn.XLOOKUP(A9,'[1]2013'!A:A,'[1]2013'!N:N,"-")</f>
        <v>2</v>
      </c>
      <c r="C9" s="2">
        <f t="shared" si="3"/>
        <v>0.4</v>
      </c>
      <c r="D9" s="1">
        <f>_xlfn.XLOOKUP(A9,'[1]2014'!A:A,'[1]2014'!N:N,"-")</f>
        <v>5</v>
      </c>
      <c r="E9" s="2">
        <f t="shared" si="0"/>
        <v>1</v>
      </c>
      <c r="F9" s="1">
        <f>_xlfn.XLOOKUP(A9,'[1]2015'!A:A,'[1]2015'!N:N,"-")</f>
        <v>2</v>
      </c>
      <c r="G9" s="2">
        <f t="shared" si="1"/>
        <v>0.4</v>
      </c>
      <c r="H9" s="1">
        <v>0</v>
      </c>
      <c r="I9" s="2">
        <f t="shared" si="2"/>
        <v>0</v>
      </c>
      <c r="J9" s="1">
        <v>0</v>
      </c>
      <c r="K9" s="2">
        <f t="shared" si="4"/>
        <v>0</v>
      </c>
      <c r="L9" s="1">
        <v>0</v>
      </c>
      <c r="M9" s="2">
        <f t="shared" si="5"/>
        <v>0</v>
      </c>
      <c r="N9" s="1">
        <v>0</v>
      </c>
      <c r="O9" s="2">
        <f t="shared" si="6"/>
        <v>0</v>
      </c>
      <c r="P9" s="1">
        <v>0</v>
      </c>
      <c r="Q9" s="2">
        <f t="shared" si="7"/>
        <v>0</v>
      </c>
      <c r="R9" s="1">
        <v>0</v>
      </c>
      <c r="S9" s="2">
        <f t="shared" si="8"/>
        <v>0</v>
      </c>
      <c r="T9" s="1">
        <v>0</v>
      </c>
      <c r="U9" s="2">
        <f t="shared" si="9"/>
        <v>0</v>
      </c>
      <c r="V9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9</v>
      </c>
      <c r="W9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1.7999999999999998</v>
      </c>
    </row>
    <row r="10" spans="1:23" x14ac:dyDescent="0.35">
      <c r="A10" s="5" t="s">
        <v>10</v>
      </c>
      <c r="B10" s="1">
        <f>_xlfn.XLOOKUP(A10,'[1]2013'!A:A,'[1]2013'!N:N,"-")</f>
        <v>25</v>
      </c>
      <c r="C10" s="2">
        <f t="shared" si="3"/>
        <v>5</v>
      </c>
      <c r="D10" s="1">
        <f>_xlfn.XLOOKUP(A10,'[1]2014'!A:A,'[1]2014'!N:N,"-")</f>
        <v>3</v>
      </c>
      <c r="E10" s="2">
        <f t="shared" si="0"/>
        <v>0.60000000000000009</v>
      </c>
      <c r="F10" s="1">
        <v>0</v>
      </c>
      <c r="G10" s="2">
        <f t="shared" si="1"/>
        <v>0</v>
      </c>
      <c r="H10" s="1">
        <v>0</v>
      </c>
      <c r="I10" s="2">
        <f t="shared" si="2"/>
        <v>0</v>
      </c>
      <c r="J10" s="1">
        <v>0</v>
      </c>
      <c r="K10" s="2">
        <f t="shared" si="4"/>
        <v>0</v>
      </c>
      <c r="L10" s="1">
        <v>0</v>
      </c>
      <c r="M10" s="2">
        <f t="shared" si="5"/>
        <v>0</v>
      </c>
      <c r="N10" s="1">
        <v>0</v>
      </c>
      <c r="O10" s="2">
        <f t="shared" si="6"/>
        <v>0</v>
      </c>
      <c r="P10" s="1">
        <v>0</v>
      </c>
      <c r="Q10" s="2">
        <f t="shared" si="7"/>
        <v>0</v>
      </c>
      <c r="R10" s="1">
        <v>0</v>
      </c>
      <c r="S10" s="2">
        <f t="shared" si="8"/>
        <v>0</v>
      </c>
      <c r="T10" s="1">
        <v>0</v>
      </c>
      <c r="U10" s="2">
        <f t="shared" si="9"/>
        <v>0</v>
      </c>
      <c r="V10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28</v>
      </c>
      <c r="W10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5.6</v>
      </c>
    </row>
    <row r="11" spans="1:23" x14ac:dyDescent="0.35">
      <c r="A11" s="5" t="s">
        <v>11</v>
      </c>
      <c r="B11" s="1">
        <v>0</v>
      </c>
      <c r="C11" s="2">
        <f>B11*0.2</f>
        <v>0</v>
      </c>
      <c r="D11" s="1">
        <f>_xlfn.XLOOKUP(A11,'[1]2014'!A:A,'[1]2014'!N:N,"-")</f>
        <v>3</v>
      </c>
      <c r="E11" s="2">
        <f t="shared" si="0"/>
        <v>0.60000000000000009</v>
      </c>
      <c r="F11" s="1">
        <f>_xlfn.XLOOKUP(A11,'[1]2015'!A:A,'[1]2015'!N:N,"-")</f>
        <v>51</v>
      </c>
      <c r="G11" s="2">
        <f t="shared" si="1"/>
        <v>10.200000000000001</v>
      </c>
      <c r="H11" s="1">
        <v>0</v>
      </c>
      <c r="I11" s="2">
        <f t="shared" si="2"/>
        <v>0</v>
      </c>
      <c r="J11" s="1">
        <f>_xlfn.XLOOKUP(A11,'[1]2017'!A:A,'[1]2017'!N:N,"-")</f>
        <v>2</v>
      </c>
      <c r="K11" s="2">
        <f t="shared" si="4"/>
        <v>1.2</v>
      </c>
      <c r="L11" s="1">
        <f>_xlfn.XLOOKUP(A11,'[1]2018'!A:A,'[1]2018'!N:N,"-")</f>
        <v>4</v>
      </c>
      <c r="M11" s="2">
        <f t="shared" si="5"/>
        <v>2.4</v>
      </c>
      <c r="N11" s="1">
        <f>_xlfn.XLOOKUP(A11,'[1]2019'!A:A,'[1]2019'!N:N,"-")</f>
        <v>2</v>
      </c>
      <c r="O11" s="2">
        <f t="shared" si="6"/>
        <v>1.2</v>
      </c>
      <c r="P11" s="1">
        <f>_xlfn.XLOOKUP(A11,'[1]2020'!A:A,'[1]2020'!N:N,"-")</f>
        <v>1</v>
      </c>
      <c r="Q11" s="2">
        <f t="shared" si="7"/>
        <v>0.6</v>
      </c>
      <c r="R11" s="1">
        <v>0</v>
      </c>
      <c r="S11" s="2">
        <f t="shared" si="8"/>
        <v>0</v>
      </c>
      <c r="T11" s="1">
        <v>0</v>
      </c>
      <c r="U11" s="2">
        <f t="shared" si="9"/>
        <v>0</v>
      </c>
      <c r="V11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63</v>
      </c>
      <c r="W11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16.8</v>
      </c>
    </row>
    <row r="12" spans="1:23" x14ac:dyDescent="0.35">
      <c r="A12" s="5" t="s">
        <v>12</v>
      </c>
      <c r="B12" s="1">
        <f>_xlfn.XLOOKUP(A12,'[1]2013'!A:A,'[1]2013'!N:N,"-")</f>
        <v>2</v>
      </c>
      <c r="C12" s="2">
        <f>B12*0.2</f>
        <v>0.4</v>
      </c>
      <c r="D12" s="1">
        <v>0</v>
      </c>
      <c r="E12" s="2">
        <f t="shared" si="0"/>
        <v>0</v>
      </c>
      <c r="F12" s="1">
        <v>0</v>
      </c>
      <c r="G12" s="2">
        <f t="shared" si="1"/>
        <v>0</v>
      </c>
      <c r="H12" s="1">
        <v>0</v>
      </c>
      <c r="I12" s="2">
        <f t="shared" si="2"/>
        <v>0</v>
      </c>
      <c r="J12" s="1">
        <v>0</v>
      </c>
      <c r="K12" s="2">
        <f t="shared" si="4"/>
        <v>0</v>
      </c>
      <c r="L12" s="1">
        <v>0</v>
      </c>
      <c r="M12" s="2">
        <f t="shared" si="5"/>
        <v>0</v>
      </c>
      <c r="N12" s="1">
        <v>0</v>
      </c>
      <c r="O12" s="2">
        <f t="shared" si="6"/>
        <v>0</v>
      </c>
      <c r="P12" s="1">
        <v>0</v>
      </c>
      <c r="Q12" s="2">
        <f t="shared" si="7"/>
        <v>0</v>
      </c>
      <c r="R12" s="1">
        <v>0</v>
      </c>
      <c r="S12" s="2">
        <f t="shared" si="8"/>
        <v>0</v>
      </c>
      <c r="T12" s="1">
        <v>0</v>
      </c>
      <c r="U12" s="2">
        <f t="shared" si="9"/>
        <v>0</v>
      </c>
      <c r="V12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2</v>
      </c>
      <c r="W12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0.4</v>
      </c>
    </row>
    <row r="13" spans="1:23" x14ac:dyDescent="0.35">
      <c r="A13" s="5" t="s">
        <v>13</v>
      </c>
      <c r="B13" s="1">
        <f>_xlfn.XLOOKUP(A13,'[1]2013'!A:A,'[1]2013'!N:N,"-")</f>
        <v>1741</v>
      </c>
      <c r="C13" s="2">
        <f>B13*0.2</f>
        <v>348.20000000000005</v>
      </c>
      <c r="D13" s="1">
        <f>_xlfn.XLOOKUP(A13,'[1]2014'!A:A,'[1]2014'!N:N,"-")</f>
        <v>3291</v>
      </c>
      <c r="E13" s="2">
        <f t="shared" si="0"/>
        <v>658.2</v>
      </c>
      <c r="F13" s="1">
        <f>_xlfn.XLOOKUP(A13,'[1]2015'!A:A,'[1]2015'!N:N,"-")</f>
        <v>1515</v>
      </c>
      <c r="G13" s="2">
        <f t="shared" si="1"/>
        <v>303</v>
      </c>
      <c r="H13" s="1">
        <f>_xlfn.XLOOKUP(A13,'[1]2016'!A:A,'[1]2016'!N:N,"-")</f>
        <v>21</v>
      </c>
      <c r="I13" s="2">
        <f t="shared" si="2"/>
        <v>4.2</v>
      </c>
      <c r="J13" s="1">
        <v>0</v>
      </c>
      <c r="K13" s="2">
        <f t="shared" si="4"/>
        <v>0</v>
      </c>
      <c r="L13" s="1">
        <v>0</v>
      </c>
      <c r="M13" s="2">
        <f t="shared" si="5"/>
        <v>0</v>
      </c>
      <c r="N13" s="1">
        <v>0</v>
      </c>
      <c r="O13" s="2">
        <f t="shared" si="6"/>
        <v>0</v>
      </c>
      <c r="P13" s="1">
        <v>0</v>
      </c>
      <c r="Q13" s="2">
        <f t="shared" si="7"/>
        <v>0</v>
      </c>
      <c r="R13" s="1">
        <v>0</v>
      </c>
      <c r="S13" s="2">
        <f t="shared" si="8"/>
        <v>0</v>
      </c>
      <c r="T13" s="1">
        <v>0</v>
      </c>
      <c r="U13" s="2">
        <f t="shared" si="9"/>
        <v>0</v>
      </c>
      <c r="V13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6568</v>
      </c>
      <c r="W13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1313.6000000000001</v>
      </c>
    </row>
    <row r="14" spans="1:23" x14ac:dyDescent="0.35">
      <c r="A14" s="5" t="s">
        <v>14</v>
      </c>
      <c r="B14" s="1">
        <v>0</v>
      </c>
      <c r="C14" s="2">
        <f t="shared" si="3"/>
        <v>0</v>
      </c>
      <c r="D14" s="1">
        <f>_xlfn.XLOOKUP(A14,'[1]2014'!A:A,'[1]2014'!N:N,"-")</f>
        <v>1</v>
      </c>
      <c r="E14" s="2">
        <f t="shared" si="0"/>
        <v>0.2</v>
      </c>
      <c r="F14" s="1">
        <v>0</v>
      </c>
      <c r="G14" s="2">
        <f t="shared" si="1"/>
        <v>0</v>
      </c>
      <c r="H14" s="1">
        <v>0</v>
      </c>
      <c r="I14" s="2">
        <f t="shared" si="2"/>
        <v>0</v>
      </c>
      <c r="J14" s="1">
        <v>0</v>
      </c>
      <c r="K14" s="2">
        <f t="shared" si="4"/>
        <v>0</v>
      </c>
      <c r="L14" s="1">
        <v>0</v>
      </c>
      <c r="M14" s="2">
        <f t="shared" si="5"/>
        <v>0</v>
      </c>
      <c r="N14" s="1">
        <v>0</v>
      </c>
      <c r="O14" s="2">
        <f t="shared" si="6"/>
        <v>0</v>
      </c>
      <c r="P14" s="1">
        <v>0</v>
      </c>
      <c r="Q14" s="2">
        <f t="shared" si="7"/>
        <v>0</v>
      </c>
      <c r="R14" s="1">
        <v>0</v>
      </c>
      <c r="S14" s="2">
        <f t="shared" si="8"/>
        <v>0</v>
      </c>
      <c r="T14" s="1">
        <v>0</v>
      </c>
      <c r="U14" s="2">
        <f t="shared" si="9"/>
        <v>0</v>
      </c>
      <c r="V14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1</v>
      </c>
      <c r="W14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0.2</v>
      </c>
    </row>
    <row r="15" spans="1:23" x14ac:dyDescent="0.35">
      <c r="A15" s="5" t="s">
        <v>15</v>
      </c>
      <c r="B15" s="1">
        <v>0</v>
      </c>
      <c r="C15" s="2">
        <f t="shared" si="3"/>
        <v>0</v>
      </c>
      <c r="D15" s="1">
        <f>_xlfn.XLOOKUP(A15,'[1]2014'!A:A,'[1]2014'!N:N,"-")</f>
        <v>5</v>
      </c>
      <c r="E15" s="2">
        <f t="shared" si="0"/>
        <v>1</v>
      </c>
      <c r="F15" s="1">
        <f>_xlfn.XLOOKUP(A15,'[1]2015'!A:A,'[1]2015'!N:N,"-")</f>
        <v>32</v>
      </c>
      <c r="G15" s="2">
        <f t="shared" si="1"/>
        <v>6.4</v>
      </c>
      <c r="H15" s="1">
        <f>_xlfn.XLOOKUP(A15,'[1]2016'!A:A,'[1]2016'!N:N,"-")</f>
        <v>80</v>
      </c>
      <c r="I15" s="2">
        <f t="shared" si="2"/>
        <v>16</v>
      </c>
      <c r="J15" s="1">
        <f>_xlfn.XLOOKUP(A15,'[1]2017'!A:A,'[1]2017'!N:N,"-")</f>
        <v>91</v>
      </c>
      <c r="K15" s="2">
        <f t="shared" si="4"/>
        <v>54.6</v>
      </c>
      <c r="L15" s="1">
        <f>_xlfn.XLOOKUP(A15,'[1]2018'!A:A,'[1]2018'!N:N,"-")</f>
        <v>169</v>
      </c>
      <c r="M15" s="2">
        <f t="shared" si="5"/>
        <v>101.39999999999999</v>
      </c>
      <c r="N15" s="1">
        <f>_xlfn.XLOOKUP(A15,'[1]2019'!A:A,'[1]2019'!N:N,"-")</f>
        <v>1306</v>
      </c>
      <c r="O15" s="2">
        <f t="shared" si="6"/>
        <v>783.6</v>
      </c>
      <c r="P15" s="1">
        <f>_xlfn.XLOOKUP(A15,'[1]2020'!A:A,'[1]2020'!N:N,"-")</f>
        <v>943</v>
      </c>
      <c r="Q15" s="2">
        <f t="shared" si="7"/>
        <v>565.79999999999995</v>
      </c>
      <c r="R15" s="1">
        <f>_xlfn.XLOOKUP(A15,'[1]2021'!A:A,'[1]2021'!N:N,"-")</f>
        <v>3</v>
      </c>
      <c r="S15" s="2">
        <f t="shared" si="8"/>
        <v>1.7999999999999998</v>
      </c>
      <c r="T15" s="1">
        <f>_xlfn.XLOOKUP(A15,'[1]2025'!A:A,'[1]2025'!N:N,"-")</f>
        <v>849</v>
      </c>
      <c r="U15" s="2">
        <f t="shared" si="9"/>
        <v>832.02</v>
      </c>
      <c r="V15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3478</v>
      </c>
      <c r="W15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2928.42</v>
      </c>
    </row>
    <row r="16" spans="1:23" x14ac:dyDescent="0.35">
      <c r="A16" s="5" t="s">
        <v>16</v>
      </c>
      <c r="B16" s="1">
        <v>0</v>
      </c>
      <c r="C16" s="2">
        <f t="shared" si="3"/>
        <v>0</v>
      </c>
      <c r="D16" s="1">
        <f>_xlfn.XLOOKUP(A16,'[1]2014'!A:A,'[1]2014'!N:N,"-")</f>
        <v>55</v>
      </c>
      <c r="E16" s="2">
        <f t="shared" si="0"/>
        <v>11</v>
      </c>
      <c r="F16" s="1">
        <f>_xlfn.XLOOKUP(A16,'[1]2015'!A:A,'[1]2015'!N:N,"-")</f>
        <v>1559</v>
      </c>
      <c r="G16" s="2">
        <f t="shared" si="1"/>
        <v>311.8</v>
      </c>
      <c r="H16" s="1">
        <f>_xlfn.XLOOKUP(A16,'[1]2016'!A:A,'[1]2016'!N:N,"-")</f>
        <v>857</v>
      </c>
      <c r="I16" s="2">
        <f t="shared" si="2"/>
        <v>171.4</v>
      </c>
      <c r="J16" s="1">
        <v>0</v>
      </c>
      <c r="K16" s="2">
        <f t="shared" si="4"/>
        <v>0</v>
      </c>
      <c r="L16" s="1">
        <v>0</v>
      </c>
      <c r="M16" s="2">
        <f t="shared" si="5"/>
        <v>0</v>
      </c>
      <c r="N16" s="1">
        <v>0</v>
      </c>
      <c r="O16" s="2">
        <f t="shared" si="6"/>
        <v>0</v>
      </c>
      <c r="P16" s="1">
        <v>0</v>
      </c>
      <c r="Q16" s="2">
        <f t="shared" si="7"/>
        <v>0</v>
      </c>
      <c r="R16" s="1">
        <v>0</v>
      </c>
      <c r="S16" s="2">
        <f t="shared" si="8"/>
        <v>0</v>
      </c>
      <c r="T16" s="1">
        <v>0</v>
      </c>
      <c r="U16" s="2">
        <f t="shared" si="9"/>
        <v>0</v>
      </c>
      <c r="V16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2471</v>
      </c>
      <c r="W16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494.20000000000005</v>
      </c>
    </row>
    <row r="17" spans="1:23" x14ac:dyDescent="0.35">
      <c r="A17" s="5" t="s">
        <v>17</v>
      </c>
      <c r="B17" s="1">
        <v>0</v>
      </c>
      <c r="C17" s="2">
        <f t="shared" si="3"/>
        <v>0</v>
      </c>
      <c r="D17" s="1">
        <v>0</v>
      </c>
      <c r="E17" s="2">
        <f t="shared" si="0"/>
        <v>0</v>
      </c>
      <c r="F17" s="1">
        <f>_xlfn.XLOOKUP(A17,'[1]2015'!A:A,'[1]2015'!N:N,"-")</f>
        <v>2153</v>
      </c>
      <c r="G17" s="2">
        <f t="shared" si="1"/>
        <v>430.6</v>
      </c>
      <c r="H17" s="1">
        <f>_xlfn.XLOOKUP(A17,'[1]2016'!A:A,'[1]2016'!N:N,"-")</f>
        <v>3761</v>
      </c>
      <c r="I17" s="2">
        <f t="shared" si="2"/>
        <v>752.2</v>
      </c>
      <c r="J17" s="1">
        <v>0</v>
      </c>
      <c r="K17" s="2">
        <f t="shared" si="4"/>
        <v>0</v>
      </c>
      <c r="L17" s="1">
        <v>0</v>
      </c>
      <c r="M17" s="2">
        <f t="shared" si="5"/>
        <v>0</v>
      </c>
      <c r="N17" s="1">
        <v>0</v>
      </c>
      <c r="O17" s="2">
        <f t="shared" si="6"/>
        <v>0</v>
      </c>
      <c r="P17" s="1">
        <v>0</v>
      </c>
      <c r="Q17" s="2">
        <f t="shared" si="7"/>
        <v>0</v>
      </c>
      <c r="R17" s="1">
        <v>0</v>
      </c>
      <c r="S17" s="2">
        <f t="shared" si="8"/>
        <v>0</v>
      </c>
      <c r="T17" s="1">
        <v>0</v>
      </c>
      <c r="U17" s="2">
        <f t="shared" si="9"/>
        <v>0</v>
      </c>
      <c r="V17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5914</v>
      </c>
      <c r="W17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1182.8000000000002</v>
      </c>
    </row>
    <row r="18" spans="1:23" x14ac:dyDescent="0.35">
      <c r="A18" s="5" t="s">
        <v>18</v>
      </c>
      <c r="B18" s="1">
        <v>0</v>
      </c>
      <c r="C18" s="2">
        <f t="shared" si="3"/>
        <v>0</v>
      </c>
      <c r="D18" s="1">
        <v>0</v>
      </c>
      <c r="E18" s="2">
        <f t="shared" si="0"/>
        <v>0</v>
      </c>
      <c r="F18" s="1">
        <f>_xlfn.XLOOKUP(A18,'[1]2015'!A:A,'[1]2015'!N:N,"-")</f>
        <v>3942</v>
      </c>
      <c r="G18" s="2">
        <f t="shared" si="1"/>
        <v>788.40000000000009</v>
      </c>
      <c r="H18" s="1">
        <f>_xlfn.XLOOKUP(A18,'[1]2016'!A:A,'[1]2016'!N:N,"-")</f>
        <v>7195</v>
      </c>
      <c r="I18" s="2">
        <f t="shared" si="2"/>
        <v>1439</v>
      </c>
      <c r="J18" s="1">
        <v>0</v>
      </c>
      <c r="K18" s="2">
        <f t="shared" si="4"/>
        <v>0</v>
      </c>
      <c r="L18" s="1">
        <v>0</v>
      </c>
      <c r="M18" s="2">
        <f t="shared" si="5"/>
        <v>0</v>
      </c>
      <c r="N18" s="1">
        <v>0</v>
      </c>
      <c r="O18" s="2">
        <f t="shared" si="6"/>
        <v>0</v>
      </c>
      <c r="P18" s="1">
        <v>0</v>
      </c>
      <c r="Q18" s="2">
        <f t="shared" si="7"/>
        <v>0</v>
      </c>
      <c r="R18" s="1">
        <v>0</v>
      </c>
      <c r="S18" s="2">
        <f t="shared" si="8"/>
        <v>0</v>
      </c>
      <c r="T18" s="1">
        <v>0</v>
      </c>
      <c r="U18" s="2">
        <f t="shared" si="9"/>
        <v>0</v>
      </c>
      <c r="V18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11137</v>
      </c>
      <c r="W18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2227.4</v>
      </c>
    </row>
    <row r="19" spans="1:23" x14ac:dyDescent="0.35">
      <c r="A19" s="5" t="s">
        <v>19</v>
      </c>
      <c r="B19" s="1">
        <v>0</v>
      </c>
      <c r="C19" s="2">
        <f>B19*0.2</f>
        <v>0</v>
      </c>
      <c r="D19" s="1">
        <v>0</v>
      </c>
      <c r="E19" s="2">
        <f t="shared" si="0"/>
        <v>0</v>
      </c>
      <c r="F19" s="1">
        <f>_xlfn.XLOOKUP(A19,'[1]2015'!A:A,'[1]2015'!N:N,"-")</f>
        <v>410</v>
      </c>
      <c r="G19" s="2">
        <f t="shared" si="1"/>
        <v>82</v>
      </c>
      <c r="H19" s="1">
        <f>_xlfn.XLOOKUP(A19,'[1]2016'!A:A,'[1]2016'!N:N,"-")</f>
        <v>790</v>
      </c>
      <c r="I19" s="2">
        <f t="shared" si="2"/>
        <v>158</v>
      </c>
      <c r="J19" s="1">
        <v>0</v>
      </c>
      <c r="K19" s="2">
        <f t="shared" si="4"/>
        <v>0</v>
      </c>
      <c r="L19" s="1">
        <v>0</v>
      </c>
      <c r="M19" s="2">
        <f t="shared" si="5"/>
        <v>0</v>
      </c>
      <c r="N19" s="1">
        <v>0</v>
      </c>
      <c r="O19" s="2">
        <f t="shared" si="6"/>
        <v>0</v>
      </c>
      <c r="P19" s="1">
        <v>0</v>
      </c>
      <c r="Q19" s="2">
        <f t="shared" si="7"/>
        <v>0</v>
      </c>
      <c r="R19" s="1">
        <v>0</v>
      </c>
      <c r="S19" s="2">
        <f t="shared" si="8"/>
        <v>0</v>
      </c>
      <c r="T19" s="1">
        <v>0</v>
      </c>
      <c r="U19" s="2">
        <f t="shared" si="9"/>
        <v>0</v>
      </c>
      <c r="V19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1200</v>
      </c>
      <c r="W19" s="8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240</v>
      </c>
    </row>
    <row r="20" spans="1:23" x14ac:dyDescent="0.35">
      <c r="A20" s="5" t="s">
        <v>20</v>
      </c>
      <c r="B20" s="1">
        <v>0</v>
      </c>
      <c r="C20" s="2">
        <f>B20*0.2</f>
        <v>0</v>
      </c>
      <c r="D20" s="1">
        <v>0</v>
      </c>
      <c r="E20" s="2">
        <f t="shared" si="0"/>
        <v>0</v>
      </c>
      <c r="F20" s="1">
        <f>_xlfn.XLOOKUP(A20,'[1]2015'!A:A,'[1]2015'!N:N,"-")</f>
        <v>115</v>
      </c>
      <c r="G20" s="2">
        <f t="shared" si="1"/>
        <v>23</v>
      </c>
      <c r="H20" s="1">
        <f>_xlfn.XLOOKUP(A20,'[1]2016'!A:A,'[1]2016'!N:N,"-")</f>
        <v>1036</v>
      </c>
      <c r="I20" s="2">
        <f t="shared" si="2"/>
        <v>207.20000000000002</v>
      </c>
      <c r="J20" s="1">
        <v>0</v>
      </c>
      <c r="K20" s="2">
        <f t="shared" si="4"/>
        <v>0</v>
      </c>
      <c r="L20" s="1">
        <v>0</v>
      </c>
      <c r="M20" s="2">
        <f t="shared" si="5"/>
        <v>0</v>
      </c>
      <c r="N20" s="1">
        <v>0</v>
      </c>
      <c r="O20" s="2">
        <f t="shared" si="6"/>
        <v>0</v>
      </c>
      <c r="P20" s="1">
        <v>0</v>
      </c>
      <c r="Q20" s="2">
        <f t="shared" si="7"/>
        <v>0</v>
      </c>
      <c r="R20" s="1">
        <v>0</v>
      </c>
      <c r="S20" s="2">
        <f t="shared" si="8"/>
        <v>0</v>
      </c>
      <c r="T20" s="1">
        <v>0</v>
      </c>
      <c r="U20" s="2">
        <f t="shared" si="9"/>
        <v>0</v>
      </c>
      <c r="V20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1151</v>
      </c>
      <c r="W20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230.20000000000002</v>
      </c>
    </row>
    <row r="21" spans="1:23" x14ac:dyDescent="0.35">
      <c r="A21" s="5" t="s">
        <v>21</v>
      </c>
      <c r="B21" s="1">
        <v>0</v>
      </c>
      <c r="C21" s="2">
        <f>B21*0.2</f>
        <v>0</v>
      </c>
      <c r="D21" s="1">
        <v>0</v>
      </c>
      <c r="E21" s="2">
        <f t="shared" si="0"/>
        <v>0</v>
      </c>
      <c r="F21" s="1">
        <f>_xlfn.XLOOKUP(A21,'[1]2015'!A:A,'[1]2015'!N:N,"-")</f>
        <v>3965</v>
      </c>
      <c r="G21" s="2">
        <f t="shared" si="1"/>
        <v>793</v>
      </c>
      <c r="H21" s="1">
        <f>_xlfn.XLOOKUP(A21,'[1]2016'!A:A,'[1]2016'!N:N,"-")</f>
        <v>3250</v>
      </c>
      <c r="I21" s="2">
        <f t="shared" si="2"/>
        <v>650</v>
      </c>
      <c r="J21" s="1">
        <v>0</v>
      </c>
      <c r="K21" s="2">
        <f t="shared" si="4"/>
        <v>0</v>
      </c>
      <c r="L21" s="1">
        <v>0</v>
      </c>
      <c r="M21" s="2">
        <f t="shared" si="5"/>
        <v>0</v>
      </c>
      <c r="N21" s="1">
        <v>0</v>
      </c>
      <c r="O21" s="2">
        <f t="shared" si="6"/>
        <v>0</v>
      </c>
      <c r="P21" s="1">
        <v>0</v>
      </c>
      <c r="Q21" s="2">
        <f t="shared" si="7"/>
        <v>0</v>
      </c>
      <c r="R21" s="1">
        <v>0</v>
      </c>
      <c r="S21" s="2">
        <f t="shared" si="8"/>
        <v>0</v>
      </c>
      <c r="T21" s="1">
        <v>0</v>
      </c>
      <c r="U21" s="2">
        <f t="shared" si="9"/>
        <v>0</v>
      </c>
      <c r="V21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7215</v>
      </c>
      <c r="W21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1443</v>
      </c>
    </row>
    <row r="22" spans="1:23" x14ac:dyDescent="0.35">
      <c r="A22" s="5" t="s">
        <v>22</v>
      </c>
      <c r="B22" s="1">
        <v>0</v>
      </c>
      <c r="C22" s="2">
        <f t="shared" si="3"/>
        <v>0</v>
      </c>
      <c r="D22" s="1">
        <v>0</v>
      </c>
      <c r="E22" s="2">
        <f t="shared" si="0"/>
        <v>0</v>
      </c>
      <c r="F22" s="1">
        <v>0</v>
      </c>
      <c r="G22" s="2">
        <f t="shared" si="1"/>
        <v>0</v>
      </c>
      <c r="H22" s="1">
        <f>_xlfn.XLOOKUP(A22,'[1]2016'!A:A,'[1]2016'!N:N,"-")</f>
        <v>702</v>
      </c>
      <c r="I22" s="2">
        <f t="shared" si="2"/>
        <v>140.4</v>
      </c>
      <c r="J22" s="1">
        <v>0</v>
      </c>
      <c r="K22" s="2">
        <f t="shared" si="4"/>
        <v>0</v>
      </c>
      <c r="L22" s="1">
        <v>0</v>
      </c>
      <c r="M22" s="2">
        <f t="shared" si="5"/>
        <v>0</v>
      </c>
      <c r="N22" s="1">
        <v>0</v>
      </c>
      <c r="O22" s="2">
        <f t="shared" si="6"/>
        <v>0</v>
      </c>
      <c r="P22" s="1">
        <v>0</v>
      </c>
      <c r="Q22" s="2">
        <f t="shared" si="7"/>
        <v>0</v>
      </c>
      <c r="R22" s="1">
        <v>0</v>
      </c>
      <c r="S22" s="2">
        <f t="shared" si="8"/>
        <v>0</v>
      </c>
      <c r="T22" s="1">
        <v>0</v>
      </c>
      <c r="U22" s="2">
        <f t="shared" si="9"/>
        <v>0</v>
      </c>
      <c r="V22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702</v>
      </c>
      <c r="W22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140.4</v>
      </c>
    </row>
    <row r="23" spans="1:23" x14ac:dyDescent="0.35">
      <c r="A23" s="5" t="s">
        <v>23</v>
      </c>
      <c r="B23" s="1">
        <v>0</v>
      </c>
      <c r="C23" s="2">
        <f t="shared" si="3"/>
        <v>0</v>
      </c>
      <c r="D23" s="1">
        <v>0</v>
      </c>
      <c r="E23" s="2">
        <f t="shared" si="0"/>
        <v>0</v>
      </c>
      <c r="F23" s="1">
        <v>0</v>
      </c>
      <c r="G23" s="2">
        <f t="shared" si="1"/>
        <v>0</v>
      </c>
      <c r="H23" s="1">
        <f>_xlfn.XLOOKUP(A23,'[1]2016'!A:A,'[1]2016'!N:N,"-")</f>
        <v>5</v>
      </c>
      <c r="I23" s="2">
        <f t="shared" si="2"/>
        <v>1</v>
      </c>
      <c r="J23" s="1">
        <v>0</v>
      </c>
      <c r="K23" s="2">
        <f t="shared" si="4"/>
        <v>0</v>
      </c>
      <c r="L23" s="1">
        <v>0</v>
      </c>
      <c r="M23" s="2">
        <f t="shared" si="5"/>
        <v>0</v>
      </c>
      <c r="N23" s="1">
        <v>0</v>
      </c>
      <c r="O23" s="2">
        <f t="shared" si="6"/>
        <v>0</v>
      </c>
      <c r="P23" s="1">
        <v>0</v>
      </c>
      <c r="Q23" s="2">
        <f t="shared" si="7"/>
        <v>0</v>
      </c>
      <c r="R23" s="1">
        <v>0</v>
      </c>
      <c r="S23" s="2">
        <f t="shared" si="8"/>
        <v>0</v>
      </c>
      <c r="T23" s="1">
        <v>0</v>
      </c>
      <c r="U23" s="2">
        <f t="shared" si="9"/>
        <v>0</v>
      </c>
      <c r="V23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5</v>
      </c>
      <c r="W23" s="8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1</v>
      </c>
    </row>
    <row r="24" spans="1:23" x14ac:dyDescent="0.35">
      <c r="A24" s="5" t="s">
        <v>24</v>
      </c>
      <c r="B24" s="1">
        <v>0</v>
      </c>
      <c r="C24" s="2">
        <f t="shared" si="3"/>
        <v>0</v>
      </c>
      <c r="D24" s="1">
        <v>0</v>
      </c>
      <c r="E24" s="2">
        <f t="shared" si="0"/>
        <v>0</v>
      </c>
      <c r="F24" s="1">
        <v>0</v>
      </c>
      <c r="G24" s="2">
        <f t="shared" si="1"/>
        <v>0</v>
      </c>
      <c r="H24" s="1">
        <f>_xlfn.XLOOKUP(A24,'[1]2016'!A:A,'[1]2016'!N:N,"-")</f>
        <v>5598</v>
      </c>
      <c r="I24" s="2">
        <f t="shared" si="2"/>
        <v>1119.6000000000001</v>
      </c>
      <c r="J24" s="1">
        <v>0</v>
      </c>
      <c r="K24" s="2">
        <f t="shared" si="4"/>
        <v>0</v>
      </c>
      <c r="L24" s="1">
        <v>0</v>
      </c>
      <c r="M24" s="2">
        <f t="shared" si="5"/>
        <v>0</v>
      </c>
      <c r="N24" s="1">
        <v>0</v>
      </c>
      <c r="O24" s="2">
        <f t="shared" si="6"/>
        <v>0</v>
      </c>
      <c r="P24" s="1">
        <v>0</v>
      </c>
      <c r="Q24" s="2">
        <f t="shared" si="7"/>
        <v>0</v>
      </c>
      <c r="R24" s="1">
        <v>0</v>
      </c>
      <c r="S24" s="2">
        <f t="shared" si="8"/>
        <v>0</v>
      </c>
      <c r="T24" s="1">
        <v>0</v>
      </c>
      <c r="U24" s="2">
        <f t="shared" si="9"/>
        <v>0</v>
      </c>
      <c r="V24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5598</v>
      </c>
      <c r="W24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1119.6000000000001</v>
      </c>
    </row>
    <row r="25" spans="1:23" x14ac:dyDescent="0.35">
      <c r="A25" s="5" t="s">
        <v>25</v>
      </c>
      <c r="B25" s="1">
        <v>0</v>
      </c>
      <c r="C25" s="2">
        <f t="shared" si="3"/>
        <v>0</v>
      </c>
      <c r="D25" s="1">
        <v>0</v>
      </c>
      <c r="E25" s="2">
        <f t="shared" si="0"/>
        <v>0</v>
      </c>
      <c r="F25" s="1">
        <v>0</v>
      </c>
      <c r="G25" s="2">
        <f t="shared" si="1"/>
        <v>0</v>
      </c>
      <c r="H25" s="1">
        <f>_xlfn.XLOOKUP(A25,'[1]2016'!A:A,'[1]2016'!N:N,"-")</f>
        <v>507</v>
      </c>
      <c r="I25" s="2">
        <f t="shared" si="2"/>
        <v>101.4</v>
      </c>
      <c r="J25" s="1">
        <v>0</v>
      </c>
      <c r="K25" s="2">
        <f t="shared" si="4"/>
        <v>0</v>
      </c>
      <c r="L25" s="1">
        <v>0</v>
      </c>
      <c r="M25" s="2">
        <f t="shared" si="5"/>
        <v>0</v>
      </c>
      <c r="N25" s="1">
        <v>0</v>
      </c>
      <c r="O25" s="2">
        <f t="shared" si="6"/>
        <v>0</v>
      </c>
      <c r="P25" s="1">
        <v>0</v>
      </c>
      <c r="Q25" s="2">
        <f t="shared" si="7"/>
        <v>0</v>
      </c>
      <c r="R25" s="1">
        <v>0</v>
      </c>
      <c r="S25" s="2">
        <f t="shared" si="8"/>
        <v>0</v>
      </c>
      <c r="T25" s="1">
        <v>0</v>
      </c>
      <c r="U25" s="2">
        <f t="shared" si="9"/>
        <v>0</v>
      </c>
      <c r="V25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507</v>
      </c>
      <c r="W25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101.4</v>
      </c>
    </row>
    <row r="26" spans="1:23" x14ac:dyDescent="0.35">
      <c r="A26" s="5" t="s">
        <v>26</v>
      </c>
      <c r="B26" s="1">
        <v>0</v>
      </c>
      <c r="C26" s="2">
        <f t="shared" si="3"/>
        <v>0</v>
      </c>
      <c r="D26" s="1">
        <v>0</v>
      </c>
      <c r="E26" s="2">
        <f t="shared" si="0"/>
        <v>0</v>
      </c>
      <c r="F26" s="1">
        <v>0</v>
      </c>
      <c r="G26" s="2">
        <f t="shared" si="1"/>
        <v>0</v>
      </c>
      <c r="H26" s="1">
        <v>0</v>
      </c>
      <c r="I26" s="2">
        <f t="shared" si="2"/>
        <v>0</v>
      </c>
      <c r="J26" s="1">
        <f>_xlfn.XLOOKUP(A26,'[1]2017'!A:A,'[1]2017'!N:N,"-")</f>
        <v>8</v>
      </c>
      <c r="K26" s="2">
        <f t="shared" si="4"/>
        <v>4.8</v>
      </c>
      <c r="L26" s="1">
        <v>0</v>
      </c>
      <c r="M26" s="2">
        <f t="shared" si="5"/>
        <v>0</v>
      </c>
      <c r="N26" s="1">
        <v>0</v>
      </c>
      <c r="O26" s="2">
        <f t="shared" si="6"/>
        <v>0</v>
      </c>
      <c r="P26" s="1">
        <v>0</v>
      </c>
      <c r="Q26" s="2">
        <f t="shared" si="7"/>
        <v>0</v>
      </c>
      <c r="R26" s="1">
        <v>0</v>
      </c>
      <c r="S26" s="2">
        <f t="shared" si="8"/>
        <v>0</v>
      </c>
      <c r="T26" s="1">
        <v>0</v>
      </c>
      <c r="U26" s="2">
        <f t="shared" si="9"/>
        <v>0</v>
      </c>
      <c r="V26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8</v>
      </c>
      <c r="W26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4.8</v>
      </c>
    </row>
    <row r="27" spans="1:23" x14ac:dyDescent="0.35">
      <c r="A27" s="5" t="s">
        <v>27</v>
      </c>
      <c r="B27" s="1">
        <v>0</v>
      </c>
      <c r="C27" s="2">
        <f t="shared" si="3"/>
        <v>0</v>
      </c>
      <c r="D27" s="1">
        <v>0</v>
      </c>
      <c r="E27" s="2">
        <f t="shared" si="0"/>
        <v>0</v>
      </c>
      <c r="F27" s="1">
        <v>0</v>
      </c>
      <c r="G27" s="2">
        <f t="shared" si="1"/>
        <v>0</v>
      </c>
      <c r="H27" s="1">
        <v>0</v>
      </c>
      <c r="I27" s="2">
        <f t="shared" si="2"/>
        <v>0</v>
      </c>
      <c r="J27" s="1">
        <f>_xlfn.XLOOKUP(A27,'[1]2017'!A:A,'[1]2017'!N:N,"-")</f>
        <v>3606</v>
      </c>
      <c r="K27" s="2">
        <f t="shared" si="4"/>
        <v>2163.6</v>
      </c>
      <c r="L27" s="1">
        <f>_xlfn.XLOOKUP(A27,'[1]2018'!A:A,'[1]2018'!N:N,"-")</f>
        <v>6504</v>
      </c>
      <c r="M27" s="2">
        <f t="shared" si="5"/>
        <v>3902.3999999999996</v>
      </c>
      <c r="N27" s="1">
        <f>_xlfn.XLOOKUP(A27,'[1]2019'!A:A,'[1]2019'!N:N,"-")</f>
        <v>6151</v>
      </c>
      <c r="O27" s="2">
        <f t="shared" si="6"/>
        <v>3690.6</v>
      </c>
      <c r="P27" s="1">
        <f>_xlfn.XLOOKUP(A27,'[1]2020'!A:A,'[1]2020'!N:N,"-")</f>
        <v>3421</v>
      </c>
      <c r="Q27" s="2">
        <f t="shared" si="7"/>
        <v>2052.6</v>
      </c>
      <c r="R27" s="1">
        <f>_xlfn.XLOOKUP(A27,'[1]2021'!A:A,'[1]2021'!N:N,"-")</f>
        <v>2</v>
      </c>
      <c r="S27" s="2">
        <f t="shared" si="8"/>
        <v>1.2</v>
      </c>
      <c r="T27" s="1">
        <v>0</v>
      </c>
      <c r="U27" s="2">
        <f t="shared" si="9"/>
        <v>0</v>
      </c>
      <c r="V27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19684</v>
      </c>
      <c r="W27" s="8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13863.000000000002</v>
      </c>
    </row>
    <row r="28" spans="1:23" x14ac:dyDescent="0.35">
      <c r="A28" s="5" t="s">
        <v>28</v>
      </c>
      <c r="B28" s="1">
        <v>0</v>
      </c>
      <c r="C28" s="2">
        <f t="shared" si="3"/>
        <v>0</v>
      </c>
      <c r="D28" s="1">
        <v>0</v>
      </c>
      <c r="E28" s="2">
        <f t="shared" si="0"/>
        <v>0</v>
      </c>
      <c r="F28" s="1">
        <v>0</v>
      </c>
      <c r="G28" s="2">
        <f t="shared" si="1"/>
        <v>0</v>
      </c>
      <c r="H28" s="1">
        <v>0</v>
      </c>
      <c r="I28" s="2">
        <f t="shared" si="2"/>
        <v>0</v>
      </c>
      <c r="J28" s="1">
        <f>_xlfn.XLOOKUP(A28,'[1]2017'!A:A,'[1]2017'!N:N,"-")</f>
        <v>9248</v>
      </c>
      <c r="K28" s="2">
        <f t="shared" si="4"/>
        <v>5548.8</v>
      </c>
      <c r="L28" s="1">
        <f>_xlfn.XLOOKUP(A28,'[1]2018'!A:A,'[1]2018'!N:N,"-")</f>
        <v>10415</v>
      </c>
      <c r="M28" s="2">
        <f t="shared" si="5"/>
        <v>6249</v>
      </c>
      <c r="N28" s="1">
        <f>_xlfn.XLOOKUP(A28,'[1]2019'!A:A,'[1]2019'!N:N,"-")</f>
        <v>3605</v>
      </c>
      <c r="O28" s="2">
        <f t="shared" si="6"/>
        <v>2163</v>
      </c>
      <c r="P28" s="1">
        <f>_xlfn.XLOOKUP(A28,'[1]2020'!A:A,'[1]2020'!N:N,"-")</f>
        <v>5</v>
      </c>
      <c r="Q28" s="2">
        <f t="shared" si="7"/>
        <v>3</v>
      </c>
      <c r="R28" s="1">
        <v>0</v>
      </c>
      <c r="S28" s="2">
        <f t="shared" si="8"/>
        <v>0</v>
      </c>
      <c r="T28" s="1">
        <v>0</v>
      </c>
      <c r="U28" s="2">
        <f t="shared" si="9"/>
        <v>0</v>
      </c>
      <c r="V28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23273</v>
      </c>
      <c r="W28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13966.8</v>
      </c>
    </row>
    <row r="29" spans="1:23" x14ac:dyDescent="0.35">
      <c r="A29" s="5" t="s">
        <v>29</v>
      </c>
      <c r="B29" s="1">
        <v>0</v>
      </c>
      <c r="C29" s="2">
        <f t="shared" si="3"/>
        <v>0</v>
      </c>
      <c r="D29" s="1">
        <v>0</v>
      </c>
      <c r="E29" s="2">
        <f t="shared" si="0"/>
        <v>0</v>
      </c>
      <c r="F29" s="1">
        <v>0</v>
      </c>
      <c r="G29" s="2">
        <f t="shared" si="1"/>
        <v>0</v>
      </c>
      <c r="H29" s="1">
        <v>0</v>
      </c>
      <c r="I29" s="2">
        <f t="shared" si="2"/>
        <v>0</v>
      </c>
      <c r="J29" s="1">
        <f>_xlfn.XLOOKUP(A29,'[1]2017'!A:A,'[1]2017'!N:N,"-")</f>
        <v>37</v>
      </c>
      <c r="K29" s="2">
        <f t="shared" si="4"/>
        <v>22.2</v>
      </c>
      <c r="L29" s="1">
        <f>_xlfn.XLOOKUP(A29,'[1]2018'!A:A,'[1]2018'!N:N,"-")</f>
        <v>151</v>
      </c>
      <c r="M29" s="2">
        <f t="shared" si="5"/>
        <v>90.6</v>
      </c>
      <c r="N29" s="1">
        <f>_xlfn.XLOOKUP(A29,'[1]2019'!A:A,'[1]2019'!N:N,"-")</f>
        <v>39</v>
      </c>
      <c r="O29" s="2">
        <f t="shared" si="6"/>
        <v>23.4</v>
      </c>
      <c r="P29" s="1">
        <f>_xlfn.XLOOKUP(A29,'[1]2020'!A:A,'[1]2020'!N:N,"-")</f>
        <v>50</v>
      </c>
      <c r="Q29" s="2">
        <f t="shared" si="7"/>
        <v>30</v>
      </c>
      <c r="R29" s="1">
        <f>_xlfn.XLOOKUP(A29,'[1]2021'!A:A,'[1]2021'!N:N,"-")</f>
        <v>1</v>
      </c>
      <c r="S29" s="2">
        <f t="shared" si="8"/>
        <v>0.6</v>
      </c>
      <c r="T29" s="1">
        <v>0</v>
      </c>
      <c r="U29" s="2">
        <f t="shared" si="9"/>
        <v>0</v>
      </c>
      <c r="V29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278</v>
      </c>
      <c r="W29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196.79999999999998</v>
      </c>
    </row>
    <row r="30" spans="1:23" x14ac:dyDescent="0.35">
      <c r="A30" s="5" t="s">
        <v>30</v>
      </c>
      <c r="B30" s="1">
        <v>0</v>
      </c>
      <c r="C30" s="2">
        <f t="shared" si="3"/>
        <v>0</v>
      </c>
      <c r="D30" s="1">
        <v>0</v>
      </c>
      <c r="E30" s="2">
        <f t="shared" si="0"/>
        <v>0</v>
      </c>
      <c r="F30" s="1">
        <v>0</v>
      </c>
      <c r="G30" s="2">
        <f t="shared" si="1"/>
        <v>0</v>
      </c>
      <c r="H30" s="1">
        <v>0</v>
      </c>
      <c r="I30" s="2">
        <f t="shared" si="2"/>
        <v>0</v>
      </c>
      <c r="J30" s="1">
        <f>_xlfn.XLOOKUP(A30,'[1]2017'!A:A,'[1]2017'!N:N,"-")</f>
        <v>1059</v>
      </c>
      <c r="K30" s="2">
        <f t="shared" si="4"/>
        <v>635.4</v>
      </c>
      <c r="L30" s="1">
        <f>_xlfn.XLOOKUP(A30,'[1]2018'!A:A,'[1]2018'!N:N,"-")</f>
        <v>1181</v>
      </c>
      <c r="M30" s="2">
        <f t="shared" si="5"/>
        <v>708.6</v>
      </c>
      <c r="N30" s="1">
        <f>_xlfn.XLOOKUP(A30,'[1]2019'!A:A,'[1]2019'!N:N,"-")</f>
        <v>786</v>
      </c>
      <c r="O30" s="2">
        <f t="shared" si="6"/>
        <v>471.59999999999997</v>
      </c>
      <c r="P30" s="1">
        <f>_xlfn.XLOOKUP(A30,'[1]2020'!A:A,'[1]2020'!N:N,"-")</f>
        <v>442</v>
      </c>
      <c r="Q30" s="2">
        <f t="shared" si="7"/>
        <v>265.2</v>
      </c>
      <c r="R30" s="1">
        <f>_xlfn.XLOOKUP(A30,'[1]2021'!A:A,'[1]2021'!N:N,"-")</f>
        <v>7</v>
      </c>
      <c r="S30" s="2">
        <f t="shared" si="8"/>
        <v>4.2</v>
      </c>
      <c r="T30" s="1">
        <v>0</v>
      </c>
      <c r="U30" s="2">
        <f t="shared" si="9"/>
        <v>0</v>
      </c>
      <c r="V30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3475</v>
      </c>
      <c r="W30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2350.1999999999994</v>
      </c>
    </row>
    <row r="31" spans="1:23" x14ac:dyDescent="0.35">
      <c r="A31" s="5" t="s">
        <v>31</v>
      </c>
      <c r="B31" s="1">
        <v>0</v>
      </c>
      <c r="C31" s="2">
        <f t="shared" si="3"/>
        <v>0</v>
      </c>
      <c r="D31" s="1">
        <v>0</v>
      </c>
      <c r="E31" s="2">
        <f t="shared" si="0"/>
        <v>0</v>
      </c>
      <c r="F31" s="1">
        <v>0</v>
      </c>
      <c r="G31" s="2">
        <f t="shared" si="1"/>
        <v>0</v>
      </c>
      <c r="H31" s="1">
        <v>0</v>
      </c>
      <c r="I31" s="2">
        <f t="shared" si="2"/>
        <v>0</v>
      </c>
      <c r="J31" s="1">
        <f>_xlfn.XLOOKUP(A31,'[1]2017'!A:A,'[1]2017'!N:N,"-")</f>
        <v>668</v>
      </c>
      <c r="K31" s="2">
        <f t="shared" si="4"/>
        <v>400.8</v>
      </c>
      <c r="L31" s="1">
        <f>_xlfn.XLOOKUP(A31,'[1]2018'!A:A,'[1]2018'!N:N,"-")</f>
        <v>504</v>
      </c>
      <c r="M31" s="2">
        <f t="shared" si="5"/>
        <v>302.39999999999998</v>
      </c>
      <c r="N31" s="1">
        <f>_xlfn.XLOOKUP(A31,'[1]2019'!A:A,'[1]2019'!N:N,"-")</f>
        <v>367</v>
      </c>
      <c r="O31" s="2">
        <f t="shared" si="6"/>
        <v>220.2</v>
      </c>
      <c r="P31" s="1">
        <f>_xlfn.XLOOKUP(A31,'[1]2020'!A:A,'[1]2020'!N:N,"-")</f>
        <v>237</v>
      </c>
      <c r="Q31" s="2">
        <f t="shared" si="7"/>
        <v>142.19999999999999</v>
      </c>
      <c r="R31" s="1">
        <f>_xlfn.XLOOKUP(A31,'[1]2021'!A:A,'[1]2021'!N:N,"-")</f>
        <v>18</v>
      </c>
      <c r="S31" s="2">
        <f t="shared" si="8"/>
        <v>10.799999999999999</v>
      </c>
      <c r="T31" s="1">
        <v>0</v>
      </c>
      <c r="U31" s="2">
        <f t="shared" si="9"/>
        <v>0</v>
      </c>
      <c r="V31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1794</v>
      </c>
      <c r="W31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1218.6000000000001</v>
      </c>
    </row>
    <row r="32" spans="1:23" x14ac:dyDescent="0.35">
      <c r="A32" s="5" t="s">
        <v>32</v>
      </c>
      <c r="B32" s="1">
        <v>0</v>
      </c>
      <c r="C32" s="2">
        <f t="shared" si="3"/>
        <v>0</v>
      </c>
      <c r="D32" s="1">
        <v>0</v>
      </c>
      <c r="E32" s="2">
        <f t="shared" si="0"/>
        <v>0</v>
      </c>
      <c r="F32" s="1">
        <v>0</v>
      </c>
      <c r="G32" s="2">
        <f t="shared" si="1"/>
        <v>0</v>
      </c>
      <c r="H32" s="1">
        <v>0</v>
      </c>
      <c r="I32" s="2">
        <f t="shared" si="2"/>
        <v>0</v>
      </c>
      <c r="J32" s="1">
        <f>_xlfn.XLOOKUP(A32,'[1]2017'!A:A,'[1]2017'!N:N,"-")</f>
        <v>29</v>
      </c>
      <c r="K32" s="2">
        <f t="shared" si="4"/>
        <v>17.399999999999999</v>
      </c>
      <c r="L32" s="1">
        <v>0</v>
      </c>
      <c r="M32" s="2">
        <f t="shared" si="5"/>
        <v>0</v>
      </c>
      <c r="N32" s="1">
        <f>_xlfn.XLOOKUP(A32,'[1]2019'!A:A,'[1]2019'!N:N,"-")</f>
        <v>70</v>
      </c>
      <c r="O32" s="2">
        <f t="shared" si="6"/>
        <v>42</v>
      </c>
      <c r="P32" s="1">
        <f>_xlfn.XLOOKUP(A32,'[1]2020'!A:A,'[1]2020'!N:N,"-")</f>
        <v>1</v>
      </c>
      <c r="Q32" s="2">
        <f t="shared" si="7"/>
        <v>0.6</v>
      </c>
      <c r="R32" s="1">
        <v>0</v>
      </c>
      <c r="S32" s="2">
        <f t="shared" si="8"/>
        <v>0</v>
      </c>
      <c r="T32" s="1">
        <v>0</v>
      </c>
      <c r="U32" s="2">
        <f t="shared" si="9"/>
        <v>0</v>
      </c>
      <c r="V32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100</v>
      </c>
      <c r="W32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60.6</v>
      </c>
    </row>
    <row r="33" spans="1:23" x14ac:dyDescent="0.35">
      <c r="A33" s="5" t="s">
        <v>33</v>
      </c>
      <c r="B33" s="1">
        <v>0</v>
      </c>
      <c r="C33" s="2">
        <f t="shared" si="3"/>
        <v>0</v>
      </c>
      <c r="D33" s="1">
        <v>0</v>
      </c>
      <c r="E33" s="2">
        <f t="shared" si="0"/>
        <v>0</v>
      </c>
      <c r="F33" s="1">
        <v>0</v>
      </c>
      <c r="G33" s="2">
        <f t="shared" si="1"/>
        <v>0</v>
      </c>
      <c r="H33" s="1">
        <v>0</v>
      </c>
      <c r="I33" s="2">
        <f t="shared" si="2"/>
        <v>0</v>
      </c>
      <c r="J33" s="1">
        <f>_xlfn.XLOOKUP(A33,'[1]2017'!A:A,'[1]2017'!N:N,"-")</f>
        <v>119</v>
      </c>
      <c r="K33" s="2">
        <f t="shared" si="4"/>
        <v>71.399999999999991</v>
      </c>
      <c r="L33" s="1">
        <f>_xlfn.XLOOKUP(A33,'[1]2018'!A:A,'[1]2018'!N:N,"-")</f>
        <v>1497</v>
      </c>
      <c r="M33" s="2">
        <f t="shared" si="5"/>
        <v>898.19999999999993</v>
      </c>
      <c r="N33" s="1">
        <f>_xlfn.XLOOKUP(A33,'[1]2019'!A:A,'[1]2019'!N:N,"-")</f>
        <v>879</v>
      </c>
      <c r="O33" s="2">
        <f t="shared" si="6"/>
        <v>527.4</v>
      </c>
      <c r="P33" s="1">
        <f>_xlfn.XLOOKUP(A33,'[1]2020'!A:A,'[1]2020'!N:N,"-")</f>
        <v>435</v>
      </c>
      <c r="Q33" s="2">
        <f t="shared" si="7"/>
        <v>261</v>
      </c>
      <c r="R33" s="1">
        <v>0</v>
      </c>
      <c r="S33" s="2">
        <f t="shared" si="8"/>
        <v>0</v>
      </c>
      <c r="T33" s="1">
        <v>0</v>
      </c>
      <c r="U33" s="2">
        <f t="shared" si="9"/>
        <v>0</v>
      </c>
      <c r="V33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2930</v>
      </c>
      <c r="W33" s="8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2019</v>
      </c>
    </row>
    <row r="34" spans="1:23" x14ac:dyDescent="0.35">
      <c r="A34" s="5" t="s">
        <v>34</v>
      </c>
      <c r="B34" s="1">
        <v>0</v>
      </c>
      <c r="C34" s="2">
        <f t="shared" si="3"/>
        <v>0</v>
      </c>
      <c r="D34" s="1">
        <v>0</v>
      </c>
      <c r="E34" s="2">
        <f t="shared" si="0"/>
        <v>0</v>
      </c>
      <c r="F34" s="1">
        <v>0</v>
      </c>
      <c r="G34" s="2">
        <f t="shared" si="1"/>
        <v>0</v>
      </c>
      <c r="H34" s="1">
        <v>0</v>
      </c>
      <c r="I34" s="2">
        <f t="shared" ref="I34:I57" si="10">H34*0.2</f>
        <v>0</v>
      </c>
      <c r="J34" s="1">
        <f>_xlfn.XLOOKUP(A34,'[1]2017'!A:A,'[1]2017'!N:N,"-")</f>
        <v>411</v>
      </c>
      <c r="K34" s="2">
        <f t="shared" si="4"/>
        <v>246.6</v>
      </c>
      <c r="L34" s="1">
        <f>_xlfn.XLOOKUP(A34,'[1]2018'!A:A,'[1]2018'!N:N,"-")</f>
        <v>726</v>
      </c>
      <c r="M34" s="2">
        <f t="shared" si="5"/>
        <v>435.59999999999997</v>
      </c>
      <c r="N34" s="1">
        <f>_xlfn.XLOOKUP(A34,'[1]2019'!A:A,'[1]2019'!N:N,"-")</f>
        <v>774</v>
      </c>
      <c r="O34" s="2">
        <f t="shared" si="6"/>
        <v>464.4</v>
      </c>
      <c r="P34" s="1">
        <f>_xlfn.XLOOKUP(A34,'[1]2020'!A:A,'[1]2020'!N:N,"-")</f>
        <v>605</v>
      </c>
      <c r="Q34" s="2">
        <f t="shared" si="7"/>
        <v>363</v>
      </c>
      <c r="R34" s="1">
        <f>_xlfn.XLOOKUP(A34,'[1]2021'!A:A,'[1]2021'!N:N,"-")</f>
        <v>1</v>
      </c>
      <c r="S34" s="2">
        <f t="shared" si="8"/>
        <v>0.6</v>
      </c>
      <c r="T34" s="1">
        <v>0</v>
      </c>
      <c r="U34" s="2">
        <f t="shared" si="9"/>
        <v>0</v>
      </c>
      <c r="V34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2517</v>
      </c>
      <c r="W34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1873.1999999999998</v>
      </c>
    </row>
    <row r="35" spans="1:23" x14ac:dyDescent="0.35">
      <c r="A35" s="5" t="s">
        <v>35</v>
      </c>
      <c r="B35" s="1">
        <v>0</v>
      </c>
      <c r="C35" s="2">
        <f t="shared" si="3"/>
        <v>0</v>
      </c>
      <c r="D35" s="1">
        <v>0</v>
      </c>
      <c r="E35" s="2">
        <f t="shared" si="0"/>
        <v>0</v>
      </c>
      <c r="F35" s="1">
        <v>0</v>
      </c>
      <c r="G35" s="2">
        <f t="shared" si="1"/>
        <v>0</v>
      </c>
      <c r="H35" s="1">
        <v>0</v>
      </c>
      <c r="I35" s="2">
        <f t="shared" si="10"/>
        <v>0</v>
      </c>
      <c r="J35" s="1">
        <f>_xlfn.XLOOKUP(A35,'[1]2017'!A:A,'[1]2017'!N:N,"-")</f>
        <v>223</v>
      </c>
      <c r="K35" s="2">
        <f t="shared" si="4"/>
        <v>133.79999999999998</v>
      </c>
      <c r="L35" s="1">
        <f>_xlfn.XLOOKUP(A35,'[1]2018'!A:A,'[1]2018'!N:N,"-")</f>
        <v>99</v>
      </c>
      <c r="M35" s="2">
        <f t="shared" si="5"/>
        <v>59.4</v>
      </c>
      <c r="N35" s="1">
        <f>_xlfn.XLOOKUP(A35,'[1]2019'!A:A,'[1]2019'!N:N,"-")</f>
        <v>35</v>
      </c>
      <c r="O35" s="2">
        <f t="shared" si="6"/>
        <v>21</v>
      </c>
      <c r="P35" s="1">
        <f>_xlfn.XLOOKUP(A35,'[1]2020'!A:A,'[1]2020'!N:N,"-")</f>
        <v>6</v>
      </c>
      <c r="Q35" s="2">
        <f t="shared" si="7"/>
        <v>3.5999999999999996</v>
      </c>
      <c r="R35" s="1">
        <f>_xlfn.XLOOKUP(A35,'[1]2021'!A:A,'[1]2021'!N:N,"-")</f>
        <v>1</v>
      </c>
      <c r="S35" s="2">
        <f t="shared" si="8"/>
        <v>0.6</v>
      </c>
      <c r="T35" s="1">
        <v>0</v>
      </c>
      <c r="U35" s="2">
        <f t="shared" si="9"/>
        <v>0</v>
      </c>
      <c r="V35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364</v>
      </c>
      <c r="W35" s="8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221.99999999999997</v>
      </c>
    </row>
    <row r="36" spans="1:23" x14ac:dyDescent="0.35">
      <c r="A36" s="5" t="s">
        <v>36</v>
      </c>
      <c r="B36" s="1">
        <v>0</v>
      </c>
      <c r="C36" s="2">
        <f t="shared" si="3"/>
        <v>0</v>
      </c>
      <c r="D36" s="1">
        <v>0</v>
      </c>
      <c r="E36" s="2">
        <f t="shared" si="0"/>
        <v>0</v>
      </c>
      <c r="F36" s="1">
        <v>0</v>
      </c>
      <c r="G36" s="2">
        <f t="shared" si="1"/>
        <v>0</v>
      </c>
      <c r="H36" s="1">
        <v>0</v>
      </c>
      <c r="I36" s="2">
        <f t="shared" si="10"/>
        <v>0</v>
      </c>
      <c r="J36" s="1">
        <f>_xlfn.XLOOKUP(A36,'[1]2017'!A:A,'[1]2017'!N:N,"-")</f>
        <v>17074</v>
      </c>
      <c r="K36" s="2">
        <f t="shared" si="4"/>
        <v>10244.4</v>
      </c>
      <c r="L36" s="1">
        <f>_xlfn.XLOOKUP(A36,'[1]2018'!A:A,'[1]2018'!N:N,"-")</f>
        <v>13647</v>
      </c>
      <c r="M36" s="2">
        <f t="shared" si="5"/>
        <v>8188.2</v>
      </c>
      <c r="N36" s="1">
        <f>_xlfn.XLOOKUP(A36,'[1]2019'!A:A,'[1]2019'!N:N,"-")</f>
        <v>7628</v>
      </c>
      <c r="O36" s="2">
        <f t="shared" si="6"/>
        <v>4576.8</v>
      </c>
      <c r="P36" s="1">
        <f>_xlfn.XLOOKUP(A36,'[1]2020'!A:A,'[1]2020'!N:N,"-")</f>
        <v>3729</v>
      </c>
      <c r="Q36" s="2">
        <f t="shared" si="7"/>
        <v>2237.4</v>
      </c>
      <c r="R36" s="1">
        <f>_xlfn.XLOOKUP(A36,'[1]2021'!A:A,'[1]2021'!N:N,"-")</f>
        <v>6</v>
      </c>
      <c r="S36" s="2">
        <f t="shared" si="8"/>
        <v>3.5999999999999996</v>
      </c>
      <c r="T36" s="1">
        <v>0</v>
      </c>
      <c r="U36" s="2">
        <f t="shared" si="9"/>
        <v>0</v>
      </c>
      <c r="V36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42084</v>
      </c>
      <c r="W36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27487.8</v>
      </c>
    </row>
    <row r="37" spans="1:23" x14ac:dyDescent="0.35">
      <c r="A37" s="5" t="s">
        <v>37</v>
      </c>
      <c r="B37" s="1">
        <v>0</v>
      </c>
      <c r="C37" s="2">
        <f t="shared" si="3"/>
        <v>0</v>
      </c>
      <c r="D37" s="1">
        <v>0</v>
      </c>
      <c r="E37" s="2">
        <f t="shared" si="0"/>
        <v>0</v>
      </c>
      <c r="F37" s="1">
        <v>0</v>
      </c>
      <c r="G37" s="2">
        <f t="shared" si="1"/>
        <v>0</v>
      </c>
      <c r="H37" s="1">
        <v>0</v>
      </c>
      <c r="I37" s="2">
        <f t="shared" si="10"/>
        <v>0</v>
      </c>
      <c r="J37" s="1">
        <f>_xlfn.XLOOKUP(A37,'[1]2017'!A:A,'[1]2017'!N:N,"-")</f>
        <v>7171</v>
      </c>
      <c r="K37" s="2">
        <f t="shared" si="4"/>
        <v>4302.5999999999995</v>
      </c>
      <c r="L37" s="1">
        <f>_xlfn.XLOOKUP(A37,'[1]2018'!A:A,'[1]2018'!N:N,"-")</f>
        <v>16804</v>
      </c>
      <c r="M37" s="2">
        <f t="shared" si="5"/>
        <v>10082.4</v>
      </c>
      <c r="N37" s="1">
        <f>_xlfn.XLOOKUP(A37,'[1]2019'!A:A,'[1]2019'!N:N,"-")</f>
        <v>12170</v>
      </c>
      <c r="O37" s="2">
        <f t="shared" si="6"/>
        <v>7302</v>
      </c>
      <c r="P37" s="1">
        <f>_xlfn.XLOOKUP(A37,'[1]2020'!A:A,'[1]2020'!N:N,"-")</f>
        <v>5907</v>
      </c>
      <c r="Q37" s="2">
        <f t="shared" si="7"/>
        <v>3544.2</v>
      </c>
      <c r="R37" s="1">
        <f>_xlfn.XLOOKUP(A37,'[1]2021'!A:A,'[1]2021'!N:N,"-")</f>
        <v>5</v>
      </c>
      <c r="S37" s="2">
        <f t="shared" si="8"/>
        <v>3</v>
      </c>
      <c r="T37" s="1">
        <v>0</v>
      </c>
      <c r="U37" s="2">
        <f t="shared" si="9"/>
        <v>0</v>
      </c>
      <c r="V37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42057</v>
      </c>
      <c r="W37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28778.400000000001</v>
      </c>
    </row>
    <row r="38" spans="1:23" x14ac:dyDescent="0.35">
      <c r="A38" s="5" t="s">
        <v>38</v>
      </c>
      <c r="B38" s="1">
        <v>0</v>
      </c>
      <c r="C38" s="2">
        <f t="shared" si="3"/>
        <v>0</v>
      </c>
      <c r="D38" s="1">
        <v>0</v>
      </c>
      <c r="E38" s="2">
        <f t="shared" si="0"/>
        <v>0</v>
      </c>
      <c r="F38" s="1">
        <v>0</v>
      </c>
      <c r="G38" s="2">
        <f t="shared" si="1"/>
        <v>0</v>
      </c>
      <c r="H38" s="1">
        <v>0</v>
      </c>
      <c r="I38" s="2">
        <f t="shared" si="10"/>
        <v>0</v>
      </c>
      <c r="J38" s="1">
        <v>0</v>
      </c>
      <c r="K38" s="2">
        <f t="shared" si="4"/>
        <v>0</v>
      </c>
      <c r="L38" s="1">
        <f>_xlfn.XLOOKUP(A38,'[1]2018'!A:A,'[1]2018'!N:N,"-")</f>
        <v>15</v>
      </c>
      <c r="M38" s="2">
        <f t="shared" si="5"/>
        <v>9</v>
      </c>
      <c r="N38" s="1">
        <v>0</v>
      </c>
      <c r="O38" s="2">
        <f t="shared" si="6"/>
        <v>0</v>
      </c>
      <c r="P38" s="1">
        <v>0</v>
      </c>
      <c r="Q38" s="2">
        <f t="shared" si="7"/>
        <v>0</v>
      </c>
      <c r="R38" s="1">
        <v>0</v>
      </c>
      <c r="S38" s="2">
        <f t="shared" si="8"/>
        <v>0</v>
      </c>
      <c r="T38" s="1">
        <v>0</v>
      </c>
      <c r="U38" s="2">
        <f t="shared" si="9"/>
        <v>0</v>
      </c>
      <c r="V38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15</v>
      </c>
      <c r="W38" s="8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9</v>
      </c>
    </row>
    <row r="39" spans="1:23" x14ac:dyDescent="0.35">
      <c r="A39" s="5" t="s">
        <v>39</v>
      </c>
      <c r="B39" s="1">
        <v>0</v>
      </c>
      <c r="C39" s="2">
        <f t="shared" si="3"/>
        <v>0</v>
      </c>
      <c r="D39" s="1">
        <v>0</v>
      </c>
      <c r="E39" s="2">
        <f t="shared" si="0"/>
        <v>0</v>
      </c>
      <c r="F39" s="1">
        <v>0</v>
      </c>
      <c r="G39" s="2">
        <f t="shared" si="1"/>
        <v>0</v>
      </c>
      <c r="H39" s="1">
        <v>0</v>
      </c>
      <c r="I39" s="2">
        <f t="shared" si="10"/>
        <v>0</v>
      </c>
      <c r="J39" s="1">
        <v>0</v>
      </c>
      <c r="K39" s="2">
        <f t="shared" si="4"/>
        <v>0</v>
      </c>
      <c r="L39" s="1">
        <f>_xlfn.XLOOKUP(A39,'[1]2018'!A:A,'[1]2018'!N:N,"-")</f>
        <v>1255</v>
      </c>
      <c r="M39" s="2">
        <f t="shared" si="5"/>
        <v>753</v>
      </c>
      <c r="N39" s="1">
        <f>_xlfn.XLOOKUP(A39,'[1]2019'!A:A,'[1]2019'!N:N,"-")</f>
        <v>2741</v>
      </c>
      <c r="O39" s="2">
        <f t="shared" si="6"/>
        <v>1644.6</v>
      </c>
      <c r="P39" s="1">
        <v>0</v>
      </c>
      <c r="Q39" s="2">
        <f t="shared" si="7"/>
        <v>0</v>
      </c>
      <c r="R39" s="1">
        <f>_xlfn.XLOOKUP(A39,'[1]2021'!A:A,'[1]2021'!N:N,"-")</f>
        <v>1</v>
      </c>
      <c r="S39" s="2">
        <f t="shared" si="8"/>
        <v>0.6</v>
      </c>
      <c r="T39" s="1">
        <v>0</v>
      </c>
      <c r="U39" s="2">
        <f t="shared" si="9"/>
        <v>0</v>
      </c>
      <c r="V39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3997</v>
      </c>
      <c r="W39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2398.1999999999998</v>
      </c>
    </row>
    <row r="40" spans="1:23" x14ac:dyDescent="0.35">
      <c r="A40" s="5" t="s">
        <v>40</v>
      </c>
      <c r="B40" s="1">
        <v>0</v>
      </c>
      <c r="C40" s="2">
        <f t="shared" si="3"/>
        <v>0</v>
      </c>
      <c r="D40" s="1">
        <v>0</v>
      </c>
      <c r="E40" s="2">
        <f t="shared" si="0"/>
        <v>0</v>
      </c>
      <c r="F40" s="1">
        <v>0</v>
      </c>
      <c r="G40" s="2">
        <f t="shared" si="1"/>
        <v>0</v>
      </c>
      <c r="H40" s="1">
        <v>0</v>
      </c>
      <c r="I40" s="2">
        <f t="shared" si="10"/>
        <v>0</v>
      </c>
      <c r="J40" s="1">
        <v>0</v>
      </c>
      <c r="K40" s="2">
        <f t="shared" si="4"/>
        <v>0</v>
      </c>
      <c r="L40" s="1">
        <f>_xlfn.XLOOKUP(A40,'[1]2018'!A:A,'[1]2018'!N:N,"-")</f>
        <v>537</v>
      </c>
      <c r="M40" s="2">
        <f t="shared" si="5"/>
        <v>322.2</v>
      </c>
      <c r="N40" s="1">
        <f>_xlfn.XLOOKUP(A40,'[1]2019'!A:A,'[1]2019'!N:N,"-")</f>
        <v>374</v>
      </c>
      <c r="O40" s="2">
        <f t="shared" si="6"/>
        <v>224.4</v>
      </c>
      <c r="P40" s="1">
        <f>_xlfn.XLOOKUP(A40,'[1]2020'!A:A,'[1]2020'!N:N,"-")</f>
        <v>228</v>
      </c>
      <c r="Q40" s="2">
        <f t="shared" si="7"/>
        <v>136.79999999999998</v>
      </c>
      <c r="R40" s="1">
        <f>_xlfn.XLOOKUP(A40,'[1]2021'!A:A,'[1]2021'!N:N,"-")</f>
        <v>1</v>
      </c>
      <c r="S40" s="2">
        <f t="shared" si="8"/>
        <v>0.6</v>
      </c>
      <c r="T40" s="1">
        <v>0</v>
      </c>
      <c r="U40" s="2">
        <f t="shared" si="9"/>
        <v>0</v>
      </c>
      <c r="V40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1140</v>
      </c>
      <c r="W40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820.8</v>
      </c>
    </row>
    <row r="41" spans="1:23" x14ac:dyDescent="0.35">
      <c r="A41" s="5" t="s">
        <v>41</v>
      </c>
      <c r="B41" s="1">
        <v>0</v>
      </c>
      <c r="C41" s="2">
        <f t="shared" si="3"/>
        <v>0</v>
      </c>
      <c r="D41" s="1">
        <v>0</v>
      </c>
      <c r="E41" s="2">
        <f t="shared" si="0"/>
        <v>0</v>
      </c>
      <c r="F41" s="1">
        <v>0</v>
      </c>
      <c r="G41" s="2">
        <f t="shared" si="1"/>
        <v>0</v>
      </c>
      <c r="H41" s="1">
        <v>0</v>
      </c>
      <c r="I41" s="2">
        <f t="shared" si="10"/>
        <v>0</v>
      </c>
      <c r="J41" s="1">
        <v>0</v>
      </c>
      <c r="K41" s="2">
        <f t="shared" si="4"/>
        <v>0</v>
      </c>
      <c r="L41" s="1">
        <f>_xlfn.XLOOKUP(A41,'[1]2018'!A:A,'[1]2018'!N:N,"-")</f>
        <v>2330</v>
      </c>
      <c r="M41" s="2">
        <f t="shared" si="5"/>
        <v>1398</v>
      </c>
      <c r="N41" s="1">
        <f>_xlfn.XLOOKUP(A41,'[1]2019'!A:A,'[1]2019'!N:N,"-")</f>
        <v>9081</v>
      </c>
      <c r="O41" s="2">
        <f t="shared" si="6"/>
        <v>5448.5999999999995</v>
      </c>
      <c r="P41" s="1">
        <f>_xlfn.XLOOKUP(A41,'[1]2020'!A:A,'[1]2020'!N:N,"-")</f>
        <v>3670</v>
      </c>
      <c r="Q41" s="2">
        <f t="shared" si="7"/>
        <v>2202</v>
      </c>
      <c r="R41" s="1">
        <f>_xlfn.XLOOKUP(A41,'[1]2021'!A:A,'[1]2021'!N:N,"-")</f>
        <v>1</v>
      </c>
      <c r="S41" s="2">
        <f t="shared" si="8"/>
        <v>0.6</v>
      </c>
      <c r="T41" s="1">
        <v>0</v>
      </c>
      <c r="U41" s="2">
        <f t="shared" si="9"/>
        <v>0</v>
      </c>
      <c r="V41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15082</v>
      </c>
      <c r="W41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11251.199999999999</v>
      </c>
    </row>
    <row r="42" spans="1:23" x14ac:dyDescent="0.35">
      <c r="A42" s="5" t="s">
        <v>42</v>
      </c>
      <c r="B42" s="1">
        <v>0</v>
      </c>
      <c r="C42" s="2">
        <f t="shared" si="3"/>
        <v>0</v>
      </c>
      <c r="D42" s="1">
        <v>0</v>
      </c>
      <c r="E42" s="2">
        <f t="shared" si="0"/>
        <v>0</v>
      </c>
      <c r="F42" s="1">
        <v>0</v>
      </c>
      <c r="G42" s="2">
        <f t="shared" si="1"/>
        <v>0</v>
      </c>
      <c r="H42" s="1">
        <v>0</v>
      </c>
      <c r="I42" s="2">
        <f t="shared" si="10"/>
        <v>0</v>
      </c>
      <c r="J42" s="1">
        <v>0</v>
      </c>
      <c r="K42" s="2">
        <f t="shared" si="4"/>
        <v>0</v>
      </c>
      <c r="L42" s="1">
        <v>0</v>
      </c>
      <c r="M42" s="2">
        <f t="shared" si="5"/>
        <v>0</v>
      </c>
      <c r="N42" s="1">
        <f>_xlfn.XLOOKUP(A42,'[1]2019'!A:A,'[1]2019'!N:N,"-")</f>
        <v>3086</v>
      </c>
      <c r="O42" s="2">
        <f t="shared" si="6"/>
        <v>1851.6</v>
      </c>
      <c r="P42" s="1">
        <f>_xlfn.XLOOKUP(A42,'[1]2020'!A:A,'[1]2020'!N:N,"-")</f>
        <v>2115</v>
      </c>
      <c r="Q42" s="2">
        <f t="shared" si="7"/>
        <v>1269</v>
      </c>
      <c r="R42" s="1">
        <v>0</v>
      </c>
      <c r="S42" s="2">
        <f t="shared" si="8"/>
        <v>0</v>
      </c>
      <c r="T42" s="1">
        <v>0</v>
      </c>
      <c r="U42" s="2">
        <f t="shared" si="9"/>
        <v>0</v>
      </c>
      <c r="V42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5201</v>
      </c>
      <c r="W42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4389.6000000000004</v>
      </c>
    </row>
    <row r="43" spans="1:23" x14ac:dyDescent="0.35">
      <c r="A43" s="5" t="s">
        <v>43</v>
      </c>
      <c r="B43" s="1">
        <v>0</v>
      </c>
      <c r="C43" s="2">
        <f t="shared" si="3"/>
        <v>0</v>
      </c>
      <c r="D43" s="1">
        <v>0</v>
      </c>
      <c r="E43" s="2">
        <f t="shared" si="0"/>
        <v>0</v>
      </c>
      <c r="F43" s="1">
        <v>0</v>
      </c>
      <c r="G43" s="2">
        <f t="shared" si="1"/>
        <v>0</v>
      </c>
      <c r="H43" s="1">
        <v>0</v>
      </c>
      <c r="I43" s="2">
        <f t="shared" si="10"/>
        <v>0</v>
      </c>
      <c r="J43" s="1">
        <v>0</v>
      </c>
      <c r="K43" s="2">
        <f t="shared" si="4"/>
        <v>0</v>
      </c>
      <c r="L43" s="1">
        <v>0</v>
      </c>
      <c r="M43" s="2">
        <f t="shared" si="5"/>
        <v>0</v>
      </c>
      <c r="N43" s="1">
        <f>_xlfn.XLOOKUP(A43,'[1]2019'!A:A,'[1]2019'!N:N,"-")</f>
        <v>3910</v>
      </c>
      <c r="O43" s="2">
        <f t="shared" si="6"/>
        <v>2346</v>
      </c>
      <c r="P43" s="1">
        <f>_xlfn.XLOOKUP(A43,'[1]2020'!A:A,'[1]2020'!N:N,"-")</f>
        <v>3049</v>
      </c>
      <c r="Q43" s="2">
        <f t="shared" si="7"/>
        <v>1829.3999999999999</v>
      </c>
      <c r="R43" s="1">
        <v>0</v>
      </c>
      <c r="S43" s="2">
        <f t="shared" si="8"/>
        <v>0</v>
      </c>
      <c r="T43" s="1">
        <v>0</v>
      </c>
      <c r="U43" s="2">
        <f t="shared" si="9"/>
        <v>0</v>
      </c>
      <c r="V43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6959</v>
      </c>
      <c r="W43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6004.7999999999993</v>
      </c>
    </row>
    <row r="44" spans="1:23" x14ac:dyDescent="0.35">
      <c r="A44" s="5" t="s">
        <v>44</v>
      </c>
      <c r="B44" s="1">
        <v>0</v>
      </c>
      <c r="C44" s="2">
        <f t="shared" si="3"/>
        <v>0</v>
      </c>
      <c r="D44" s="1">
        <v>0</v>
      </c>
      <c r="E44" s="2">
        <f t="shared" si="0"/>
        <v>0</v>
      </c>
      <c r="F44" s="1">
        <v>0</v>
      </c>
      <c r="G44" s="2">
        <f t="shared" si="1"/>
        <v>0</v>
      </c>
      <c r="H44" s="1">
        <v>0</v>
      </c>
      <c r="I44" s="2">
        <f t="shared" si="10"/>
        <v>0</v>
      </c>
      <c r="J44" s="1">
        <v>0</v>
      </c>
      <c r="K44" s="2">
        <f t="shared" si="4"/>
        <v>0</v>
      </c>
      <c r="L44" s="1">
        <v>0</v>
      </c>
      <c r="M44" s="2">
        <f t="shared" si="5"/>
        <v>0</v>
      </c>
      <c r="N44" s="1">
        <f>_xlfn.XLOOKUP(A44,'[1]2019'!A:A,'[1]2019'!N:N,"-")</f>
        <v>861</v>
      </c>
      <c r="O44" s="2">
        <f t="shared" si="6"/>
        <v>516.6</v>
      </c>
      <c r="P44" s="1">
        <f>_xlfn.XLOOKUP(A44,'[1]2020'!A:A,'[1]2020'!N:N,"-")</f>
        <v>1343</v>
      </c>
      <c r="Q44" s="2">
        <f t="shared" si="7"/>
        <v>805.8</v>
      </c>
      <c r="R44" s="1">
        <f>_xlfn.XLOOKUP(A44,'[1]2021'!A:A,'[1]2021'!N:N,"-")</f>
        <v>4</v>
      </c>
      <c r="S44" s="2">
        <f t="shared" si="8"/>
        <v>2.4</v>
      </c>
      <c r="T44" s="1">
        <f>_xlfn.XLOOKUP(A44,'[1]2025'!A:A,'[1]2025'!N:N,"-")</f>
        <v>1651</v>
      </c>
      <c r="U44" s="2">
        <f t="shared" si="9"/>
        <v>1617.98</v>
      </c>
      <c r="V44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3859</v>
      </c>
      <c r="W44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3748.58</v>
      </c>
    </row>
    <row r="45" spans="1:23" x14ac:dyDescent="0.35">
      <c r="A45" s="5" t="s">
        <v>45</v>
      </c>
      <c r="B45" s="1">
        <v>0</v>
      </c>
      <c r="C45" s="2">
        <f t="shared" si="3"/>
        <v>0</v>
      </c>
      <c r="D45" s="1">
        <v>0</v>
      </c>
      <c r="E45" s="2">
        <f t="shared" si="0"/>
        <v>0</v>
      </c>
      <c r="F45" s="1">
        <v>0</v>
      </c>
      <c r="G45" s="2">
        <f t="shared" si="1"/>
        <v>0</v>
      </c>
      <c r="H45" s="1">
        <v>0</v>
      </c>
      <c r="I45" s="2">
        <f t="shared" si="10"/>
        <v>0</v>
      </c>
      <c r="J45" s="1">
        <v>0</v>
      </c>
      <c r="K45" s="2">
        <f t="shared" si="4"/>
        <v>0</v>
      </c>
      <c r="L45" s="1">
        <v>0</v>
      </c>
      <c r="M45" s="2">
        <f t="shared" si="5"/>
        <v>0</v>
      </c>
      <c r="N45" s="1">
        <f>_xlfn.XLOOKUP(A45,'[1]2019'!A:A,'[1]2019'!N:N,"-")</f>
        <v>3</v>
      </c>
      <c r="O45" s="2">
        <f t="shared" si="6"/>
        <v>1.7999999999999998</v>
      </c>
      <c r="P45" s="1">
        <f>_xlfn.XLOOKUP(A45,'[1]2020'!A:A,'[1]2020'!N:N,"-")</f>
        <v>1</v>
      </c>
      <c r="Q45" s="2">
        <f t="shared" si="7"/>
        <v>0.6</v>
      </c>
      <c r="R45" s="1">
        <f>_xlfn.XLOOKUP(A45,'[1]2021'!A:A,'[1]2021'!N:N,"-")</f>
        <v>7</v>
      </c>
      <c r="S45" s="2">
        <f t="shared" si="8"/>
        <v>4.2</v>
      </c>
      <c r="T45" s="1">
        <v>0</v>
      </c>
      <c r="U45" s="2">
        <f t="shared" si="9"/>
        <v>0</v>
      </c>
      <c r="V45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11</v>
      </c>
      <c r="W45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7.2</v>
      </c>
    </row>
    <row r="46" spans="1:23" x14ac:dyDescent="0.35">
      <c r="A46" s="5" t="s">
        <v>46</v>
      </c>
      <c r="B46" s="1">
        <v>0</v>
      </c>
      <c r="C46" s="2">
        <f t="shared" si="3"/>
        <v>0</v>
      </c>
      <c r="D46" s="1">
        <v>0</v>
      </c>
      <c r="E46" s="2">
        <f t="shared" si="0"/>
        <v>0</v>
      </c>
      <c r="F46" s="1">
        <v>0</v>
      </c>
      <c r="G46" s="2">
        <f t="shared" si="1"/>
        <v>0</v>
      </c>
      <c r="H46" s="1">
        <v>0</v>
      </c>
      <c r="I46" s="2">
        <f t="shared" si="10"/>
        <v>0</v>
      </c>
      <c r="J46" s="1">
        <v>0</v>
      </c>
      <c r="K46" s="2">
        <f t="shared" si="4"/>
        <v>0</v>
      </c>
      <c r="L46" s="1">
        <v>0</v>
      </c>
      <c r="M46" s="2">
        <f t="shared" si="5"/>
        <v>0</v>
      </c>
      <c r="N46" s="1">
        <f>_xlfn.XLOOKUP(A46,'[1]2019'!A:A,'[1]2019'!N:N,"-")</f>
        <v>220</v>
      </c>
      <c r="O46" s="2">
        <f t="shared" si="6"/>
        <v>132</v>
      </c>
      <c r="P46" s="1">
        <f>_xlfn.XLOOKUP(A46,'[1]2020'!A:A,'[1]2020'!N:N,"-")</f>
        <v>612</v>
      </c>
      <c r="Q46" s="2">
        <f t="shared" si="7"/>
        <v>367.2</v>
      </c>
      <c r="R46" s="1">
        <v>0</v>
      </c>
      <c r="S46" s="2">
        <f t="shared" si="8"/>
        <v>0</v>
      </c>
      <c r="T46" s="1">
        <v>0</v>
      </c>
      <c r="U46" s="2">
        <f t="shared" si="9"/>
        <v>0</v>
      </c>
      <c r="V46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832</v>
      </c>
      <c r="W46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866.4</v>
      </c>
    </row>
    <row r="47" spans="1:23" x14ac:dyDescent="0.35">
      <c r="A47" s="5" t="s">
        <v>47</v>
      </c>
      <c r="B47" s="1">
        <v>0</v>
      </c>
      <c r="C47" s="2">
        <f t="shared" si="3"/>
        <v>0</v>
      </c>
      <c r="D47" s="1">
        <v>0</v>
      </c>
      <c r="E47" s="2">
        <f t="shared" si="0"/>
        <v>0</v>
      </c>
      <c r="F47" s="1">
        <v>0</v>
      </c>
      <c r="G47" s="2">
        <f t="shared" si="1"/>
        <v>0</v>
      </c>
      <c r="H47" s="1">
        <v>0</v>
      </c>
      <c r="I47" s="2">
        <f t="shared" si="10"/>
        <v>0</v>
      </c>
      <c r="J47" s="1">
        <v>0</v>
      </c>
      <c r="K47" s="2">
        <f t="shared" si="4"/>
        <v>0</v>
      </c>
      <c r="L47" s="1">
        <v>0</v>
      </c>
      <c r="M47" s="2">
        <f t="shared" si="5"/>
        <v>0</v>
      </c>
      <c r="N47" s="1">
        <v>0</v>
      </c>
      <c r="O47" s="2">
        <f t="shared" si="6"/>
        <v>0</v>
      </c>
      <c r="P47" s="1">
        <f>_xlfn.XLOOKUP(A47,'[1]2020'!A:A,'[1]2020'!N:N,"-")</f>
        <v>71</v>
      </c>
      <c r="Q47" s="2">
        <f t="shared" si="7"/>
        <v>42.6</v>
      </c>
      <c r="R47" s="1">
        <f>_xlfn.XLOOKUP(A47,'[1]2021'!A:A,'[1]2021'!N:N,"-")</f>
        <v>1</v>
      </c>
      <c r="S47" s="2">
        <f t="shared" si="8"/>
        <v>0.6</v>
      </c>
      <c r="T47" s="1">
        <v>0</v>
      </c>
      <c r="U47" s="2">
        <f t="shared" si="9"/>
        <v>0</v>
      </c>
      <c r="V47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72</v>
      </c>
      <c r="W47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85.8</v>
      </c>
    </row>
    <row r="48" spans="1:23" x14ac:dyDescent="0.35">
      <c r="A48" s="5" t="s">
        <v>48</v>
      </c>
      <c r="B48" s="1">
        <v>0</v>
      </c>
      <c r="C48" s="2">
        <f t="shared" si="3"/>
        <v>0</v>
      </c>
      <c r="D48" s="1">
        <v>0</v>
      </c>
      <c r="E48" s="2">
        <f t="shared" si="0"/>
        <v>0</v>
      </c>
      <c r="F48" s="1">
        <v>0</v>
      </c>
      <c r="G48" s="2">
        <f t="shared" si="1"/>
        <v>0</v>
      </c>
      <c r="H48" s="1">
        <v>0</v>
      </c>
      <c r="I48" s="2">
        <f t="shared" si="10"/>
        <v>0</v>
      </c>
      <c r="J48" s="1">
        <v>0</v>
      </c>
      <c r="K48" s="2">
        <f t="shared" si="4"/>
        <v>0</v>
      </c>
      <c r="L48" s="1">
        <v>0</v>
      </c>
      <c r="M48" s="2">
        <f t="shared" si="5"/>
        <v>0</v>
      </c>
      <c r="N48" s="1">
        <v>0</v>
      </c>
      <c r="O48" s="2">
        <f t="shared" si="6"/>
        <v>0</v>
      </c>
      <c r="P48" s="1">
        <f>_xlfn.XLOOKUP(A48,'[1]2020'!A:A,'[1]2020'!N:N,"-")</f>
        <v>54</v>
      </c>
      <c r="Q48" s="2">
        <f t="shared" si="7"/>
        <v>32.4</v>
      </c>
      <c r="R48" s="1">
        <f>_xlfn.XLOOKUP(A48,'[1]2021'!A:A,'[1]2021'!N:N,"-")</f>
        <v>2</v>
      </c>
      <c r="S48" s="2">
        <f t="shared" si="8"/>
        <v>1.2</v>
      </c>
      <c r="T48" s="1">
        <v>0</v>
      </c>
      <c r="U48" s="2">
        <f t="shared" si="9"/>
        <v>0</v>
      </c>
      <c r="V48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56</v>
      </c>
      <c r="W48" s="8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66</v>
      </c>
    </row>
    <row r="49" spans="1:23" x14ac:dyDescent="0.35">
      <c r="A49" s="5" t="s">
        <v>49</v>
      </c>
      <c r="B49" s="1">
        <v>0</v>
      </c>
      <c r="C49" s="2">
        <f t="shared" si="3"/>
        <v>0</v>
      </c>
      <c r="D49" s="1">
        <v>0</v>
      </c>
      <c r="E49" s="2">
        <f t="shared" si="0"/>
        <v>0</v>
      </c>
      <c r="F49" s="1">
        <v>0</v>
      </c>
      <c r="G49" s="2">
        <f t="shared" si="1"/>
        <v>0</v>
      </c>
      <c r="H49" s="1">
        <v>0</v>
      </c>
      <c r="I49" s="2">
        <f t="shared" si="10"/>
        <v>0</v>
      </c>
      <c r="J49" s="1">
        <v>0</v>
      </c>
      <c r="K49" s="2">
        <f t="shared" si="4"/>
        <v>0</v>
      </c>
      <c r="L49" s="1">
        <v>0</v>
      </c>
      <c r="M49" s="2">
        <f t="shared" si="5"/>
        <v>0</v>
      </c>
      <c r="N49" s="1">
        <v>0</v>
      </c>
      <c r="O49" s="2">
        <f t="shared" si="6"/>
        <v>0</v>
      </c>
      <c r="P49" s="1">
        <f>_xlfn.XLOOKUP(A49,'[1]2020'!A:A,'[1]2020'!N:N,"-")</f>
        <v>17</v>
      </c>
      <c r="Q49" s="2">
        <f t="shared" si="7"/>
        <v>10.199999999999999</v>
      </c>
      <c r="R49" s="1">
        <v>0</v>
      </c>
      <c r="S49" s="2">
        <f t="shared" si="8"/>
        <v>0</v>
      </c>
      <c r="T49" s="1">
        <v>0</v>
      </c>
      <c r="U49" s="2">
        <f t="shared" si="9"/>
        <v>0</v>
      </c>
      <c r="V49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17</v>
      </c>
      <c r="W49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20.399999999999999</v>
      </c>
    </row>
    <row r="50" spans="1:23" x14ac:dyDescent="0.35">
      <c r="A50" s="5" t="s">
        <v>50</v>
      </c>
      <c r="B50" s="1">
        <v>0</v>
      </c>
      <c r="C50" s="2">
        <f t="shared" si="3"/>
        <v>0</v>
      </c>
      <c r="D50" s="1">
        <v>0</v>
      </c>
      <c r="E50" s="2">
        <f t="shared" si="0"/>
        <v>0</v>
      </c>
      <c r="F50" s="1">
        <v>0</v>
      </c>
      <c r="G50" s="2">
        <f t="shared" si="1"/>
        <v>0</v>
      </c>
      <c r="H50" s="1">
        <v>0</v>
      </c>
      <c r="I50" s="2">
        <f t="shared" si="10"/>
        <v>0</v>
      </c>
      <c r="J50" s="1">
        <v>0</v>
      </c>
      <c r="K50" s="2">
        <f t="shared" si="4"/>
        <v>0</v>
      </c>
      <c r="L50" s="1">
        <v>0</v>
      </c>
      <c r="M50" s="2">
        <f t="shared" si="5"/>
        <v>0</v>
      </c>
      <c r="N50" s="1">
        <v>0</v>
      </c>
      <c r="O50" s="2">
        <f t="shared" si="6"/>
        <v>0</v>
      </c>
      <c r="P50" s="1">
        <v>0</v>
      </c>
      <c r="Q50" s="2">
        <f t="shared" si="7"/>
        <v>0</v>
      </c>
      <c r="R50" s="1">
        <f>_xlfn.XLOOKUP(A50,'[1]2021'!A:A,'[1]2021'!N:N,"-")</f>
        <v>1</v>
      </c>
      <c r="S50" s="2">
        <f t="shared" si="8"/>
        <v>0.6</v>
      </c>
      <c r="T50" s="1">
        <v>0</v>
      </c>
      <c r="U50" s="2">
        <f t="shared" si="9"/>
        <v>0</v>
      </c>
      <c r="V50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1</v>
      </c>
      <c r="W50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0.6</v>
      </c>
    </row>
    <row r="51" spans="1:23" x14ac:dyDescent="0.35">
      <c r="A51" s="5" t="s">
        <v>51</v>
      </c>
      <c r="B51" s="1">
        <v>0</v>
      </c>
      <c r="C51" s="2">
        <f t="shared" si="3"/>
        <v>0</v>
      </c>
      <c r="D51" s="1">
        <v>0</v>
      </c>
      <c r="E51" s="2">
        <f t="shared" si="0"/>
        <v>0</v>
      </c>
      <c r="F51" s="1">
        <v>0</v>
      </c>
      <c r="G51" s="2">
        <f t="shared" si="1"/>
        <v>0</v>
      </c>
      <c r="H51" s="1">
        <v>0</v>
      </c>
      <c r="I51" s="2">
        <f t="shared" si="10"/>
        <v>0</v>
      </c>
      <c r="J51" s="1">
        <v>0</v>
      </c>
      <c r="K51" s="2">
        <f t="shared" si="4"/>
        <v>0</v>
      </c>
      <c r="L51" s="1">
        <v>0</v>
      </c>
      <c r="M51" s="2">
        <f t="shared" si="5"/>
        <v>0</v>
      </c>
      <c r="N51" s="1">
        <v>0</v>
      </c>
      <c r="O51" s="2">
        <f t="shared" si="6"/>
        <v>0</v>
      </c>
      <c r="P51" s="1">
        <v>0</v>
      </c>
      <c r="Q51" s="2">
        <f t="shared" si="7"/>
        <v>0</v>
      </c>
      <c r="R51" s="1">
        <v>0</v>
      </c>
      <c r="S51" s="2">
        <f t="shared" si="8"/>
        <v>0</v>
      </c>
      <c r="T51" s="1">
        <f>_xlfn.XLOOKUP(A51,'[1]2025'!A:A,'[1]2025'!N:N,"-")</f>
        <v>4922</v>
      </c>
      <c r="U51" s="2">
        <f t="shared" si="9"/>
        <v>4823.5599999999995</v>
      </c>
      <c r="V51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4922</v>
      </c>
      <c r="W51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4823.5599999999995</v>
      </c>
    </row>
    <row r="52" spans="1:23" x14ac:dyDescent="0.35">
      <c r="A52" s="5" t="s">
        <v>52</v>
      </c>
      <c r="B52" s="1">
        <v>0</v>
      </c>
      <c r="C52" s="2">
        <f t="shared" si="3"/>
        <v>0</v>
      </c>
      <c r="D52" s="1">
        <v>0</v>
      </c>
      <c r="E52" s="2">
        <f t="shared" si="0"/>
        <v>0</v>
      </c>
      <c r="F52" s="1">
        <v>0</v>
      </c>
      <c r="G52" s="2">
        <f t="shared" si="1"/>
        <v>0</v>
      </c>
      <c r="H52" s="1">
        <v>0</v>
      </c>
      <c r="I52" s="2">
        <f t="shared" si="10"/>
        <v>0</v>
      </c>
      <c r="J52" s="1">
        <v>0</v>
      </c>
      <c r="K52" s="2">
        <f t="shared" si="4"/>
        <v>0</v>
      </c>
      <c r="L52" s="1">
        <v>0</v>
      </c>
      <c r="M52" s="2">
        <f t="shared" si="5"/>
        <v>0</v>
      </c>
      <c r="N52" s="1">
        <v>0</v>
      </c>
      <c r="O52" s="2">
        <f t="shared" si="6"/>
        <v>0</v>
      </c>
      <c r="P52" s="1">
        <v>0</v>
      </c>
      <c r="Q52" s="2">
        <f t="shared" si="7"/>
        <v>0</v>
      </c>
      <c r="R52" s="1">
        <v>0</v>
      </c>
      <c r="S52" s="2">
        <f t="shared" si="8"/>
        <v>0</v>
      </c>
      <c r="T52" s="1">
        <f>_xlfn.XLOOKUP(A52,'[1]2025'!A:A,'[1]2025'!N:N,"-")</f>
        <v>4073</v>
      </c>
      <c r="U52" s="2">
        <f t="shared" si="9"/>
        <v>3991.54</v>
      </c>
      <c r="V52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4073</v>
      </c>
      <c r="W52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3991.54</v>
      </c>
    </row>
    <row r="53" spans="1:23" x14ac:dyDescent="0.35">
      <c r="A53" s="5" t="s">
        <v>53</v>
      </c>
      <c r="B53" s="1">
        <v>0</v>
      </c>
      <c r="C53" s="2">
        <f t="shared" si="3"/>
        <v>0</v>
      </c>
      <c r="D53" s="1">
        <v>0</v>
      </c>
      <c r="E53" s="2">
        <f t="shared" si="0"/>
        <v>0</v>
      </c>
      <c r="F53" s="1">
        <v>0</v>
      </c>
      <c r="G53" s="2">
        <f t="shared" si="1"/>
        <v>0</v>
      </c>
      <c r="H53" s="1">
        <v>0</v>
      </c>
      <c r="I53" s="2">
        <f t="shared" si="10"/>
        <v>0</v>
      </c>
      <c r="J53" s="1">
        <v>0</v>
      </c>
      <c r="K53" s="2">
        <f t="shared" si="4"/>
        <v>0</v>
      </c>
      <c r="L53" s="1">
        <v>0</v>
      </c>
      <c r="M53" s="2">
        <f t="shared" si="5"/>
        <v>0</v>
      </c>
      <c r="N53" s="1">
        <v>0</v>
      </c>
      <c r="O53" s="2">
        <f t="shared" si="6"/>
        <v>0</v>
      </c>
      <c r="P53" s="1">
        <v>0</v>
      </c>
      <c r="Q53" s="2">
        <f t="shared" si="7"/>
        <v>0</v>
      </c>
      <c r="R53" s="1">
        <v>0</v>
      </c>
      <c r="S53" s="2">
        <f t="shared" si="8"/>
        <v>0</v>
      </c>
      <c r="T53" s="1">
        <f>_xlfn.XLOOKUP(A53,'[1]2025'!A:A,'[1]2025'!N:N,"-")</f>
        <v>745</v>
      </c>
      <c r="U53" s="2">
        <f t="shared" si="9"/>
        <v>730.1</v>
      </c>
      <c r="V53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745</v>
      </c>
      <c r="W53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730.1</v>
      </c>
    </row>
    <row r="54" spans="1:23" x14ac:dyDescent="0.35">
      <c r="A54" s="5" t="s">
        <v>54</v>
      </c>
      <c r="B54" s="1">
        <v>0</v>
      </c>
      <c r="C54" s="2">
        <f t="shared" si="3"/>
        <v>0</v>
      </c>
      <c r="D54" s="1">
        <v>0</v>
      </c>
      <c r="E54" s="2">
        <f t="shared" si="0"/>
        <v>0</v>
      </c>
      <c r="F54" s="1">
        <v>0</v>
      </c>
      <c r="G54" s="2">
        <f t="shared" si="1"/>
        <v>0</v>
      </c>
      <c r="H54" s="1">
        <v>0</v>
      </c>
      <c r="I54" s="2">
        <f t="shared" si="10"/>
        <v>0</v>
      </c>
      <c r="J54" s="1">
        <v>0</v>
      </c>
      <c r="K54" s="2">
        <f t="shared" si="4"/>
        <v>0</v>
      </c>
      <c r="L54" s="1">
        <v>0</v>
      </c>
      <c r="M54" s="2">
        <f t="shared" si="5"/>
        <v>0</v>
      </c>
      <c r="N54" s="1">
        <v>0</v>
      </c>
      <c r="O54" s="2">
        <f t="shared" si="6"/>
        <v>0</v>
      </c>
      <c r="P54" s="1">
        <v>0</v>
      </c>
      <c r="Q54" s="2">
        <f t="shared" si="7"/>
        <v>0</v>
      </c>
      <c r="R54" s="1">
        <v>0</v>
      </c>
      <c r="S54" s="2">
        <f t="shared" si="8"/>
        <v>0</v>
      </c>
      <c r="T54" s="1">
        <f>_xlfn.XLOOKUP(A54,'[1]2025'!A:A,'[1]2025'!N:N,"-")</f>
        <v>3434</v>
      </c>
      <c r="U54" s="2">
        <f t="shared" si="9"/>
        <v>3365.32</v>
      </c>
      <c r="V54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3434</v>
      </c>
      <c r="W54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3365.32</v>
      </c>
    </row>
    <row r="55" spans="1:23" x14ac:dyDescent="0.35">
      <c r="A55" s="5" t="s">
        <v>55</v>
      </c>
      <c r="B55" s="1">
        <v>0</v>
      </c>
      <c r="C55" s="2">
        <f t="shared" si="3"/>
        <v>0</v>
      </c>
      <c r="D55" s="1">
        <v>0</v>
      </c>
      <c r="E55" s="2">
        <f t="shared" si="0"/>
        <v>0</v>
      </c>
      <c r="F55" s="1">
        <v>0</v>
      </c>
      <c r="G55" s="2">
        <f t="shared" si="1"/>
        <v>0</v>
      </c>
      <c r="H55" s="1">
        <v>0</v>
      </c>
      <c r="I55" s="2">
        <f t="shared" si="10"/>
        <v>0</v>
      </c>
      <c r="J55" s="1">
        <v>0</v>
      </c>
      <c r="K55" s="2">
        <f t="shared" si="4"/>
        <v>0</v>
      </c>
      <c r="L55" s="1">
        <v>0</v>
      </c>
      <c r="M55" s="2">
        <f t="shared" si="5"/>
        <v>0</v>
      </c>
      <c r="N55" s="1">
        <v>0</v>
      </c>
      <c r="O55" s="2">
        <f t="shared" si="6"/>
        <v>0</v>
      </c>
      <c r="P55" s="1">
        <v>0</v>
      </c>
      <c r="Q55" s="2">
        <f t="shared" si="7"/>
        <v>0</v>
      </c>
      <c r="R55" s="1">
        <v>0</v>
      </c>
      <c r="S55" s="2">
        <f t="shared" si="8"/>
        <v>0</v>
      </c>
      <c r="T55" s="1">
        <f>_xlfn.XLOOKUP(A55,'[1]2025'!A:A,'[1]2025'!N:N,"-")</f>
        <v>2325</v>
      </c>
      <c r="U55" s="2">
        <f t="shared" si="9"/>
        <v>2278.5</v>
      </c>
      <c r="V55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2325</v>
      </c>
      <c r="W55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2278.5</v>
      </c>
    </row>
    <row r="56" spans="1:23" x14ac:dyDescent="0.35">
      <c r="A56" s="5" t="s">
        <v>56</v>
      </c>
      <c r="B56" s="1">
        <v>0</v>
      </c>
      <c r="C56" s="2">
        <f t="shared" si="3"/>
        <v>0</v>
      </c>
      <c r="D56" s="1">
        <v>0</v>
      </c>
      <c r="E56" s="2">
        <f t="shared" si="0"/>
        <v>0</v>
      </c>
      <c r="F56" s="1">
        <v>0</v>
      </c>
      <c r="G56" s="2">
        <f t="shared" si="1"/>
        <v>0</v>
      </c>
      <c r="H56" s="1">
        <v>0</v>
      </c>
      <c r="I56" s="2">
        <f t="shared" si="10"/>
        <v>0</v>
      </c>
      <c r="J56" s="1">
        <v>0</v>
      </c>
      <c r="K56" s="2">
        <f t="shared" si="4"/>
        <v>0</v>
      </c>
      <c r="L56" s="1">
        <v>0</v>
      </c>
      <c r="M56" s="2">
        <f t="shared" si="5"/>
        <v>0</v>
      </c>
      <c r="N56" s="1">
        <v>0</v>
      </c>
      <c r="O56" s="2">
        <f t="shared" si="6"/>
        <v>0</v>
      </c>
      <c r="P56" s="1">
        <v>0</v>
      </c>
      <c r="Q56" s="2">
        <f t="shared" si="7"/>
        <v>0</v>
      </c>
      <c r="R56" s="1">
        <v>0</v>
      </c>
      <c r="S56" s="2">
        <f t="shared" si="8"/>
        <v>0</v>
      </c>
      <c r="T56" s="1">
        <f>_xlfn.XLOOKUP(A56,'[1]2025'!A:A,'[1]2025'!N:N,"-")</f>
        <v>2780</v>
      </c>
      <c r="U56" s="2">
        <f t="shared" si="9"/>
        <v>2724.4</v>
      </c>
      <c r="V56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2780</v>
      </c>
      <c r="W56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2724.4</v>
      </c>
    </row>
    <row r="57" spans="1:23" x14ac:dyDescent="0.35">
      <c r="A57" s="5" t="s">
        <v>57</v>
      </c>
      <c r="B57" s="1">
        <v>0</v>
      </c>
      <c r="C57" s="2">
        <f t="shared" si="3"/>
        <v>0</v>
      </c>
      <c r="D57" s="1">
        <v>0</v>
      </c>
      <c r="E57" s="2">
        <f t="shared" si="0"/>
        <v>0</v>
      </c>
      <c r="F57" s="1">
        <v>0</v>
      </c>
      <c r="G57" s="2">
        <f t="shared" si="1"/>
        <v>0</v>
      </c>
      <c r="H57" s="1">
        <v>0</v>
      </c>
      <c r="I57" s="2">
        <f t="shared" si="10"/>
        <v>0</v>
      </c>
      <c r="J57" s="1">
        <v>0</v>
      </c>
      <c r="K57" s="2">
        <f t="shared" si="4"/>
        <v>0</v>
      </c>
      <c r="L57" s="1">
        <v>0</v>
      </c>
      <c r="M57" s="2">
        <f t="shared" si="5"/>
        <v>0</v>
      </c>
      <c r="N57" s="1">
        <v>0</v>
      </c>
      <c r="O57" s="2">
        <f t="shared" si="6"/>
        <v>0</v>
      </c>
      <c r="P57" s="1">
        <v>0</v>
      </c>
      <c r="Q57" s="2">
        <f t="shared" si="7"/>
        <v>0</v>
      </c>
      <c r="R57" s="1">
        <v>0</v>
      </c>
      <c r="S57" s="2">
        <f t="shared" si="8"/>
        <v>0</v>
      </c>
      <c r="T57" s="1">
        <f>_xlfn.XLOOKUP(A57,'[1]2025'!A:A,'[1]2025'!N:N,"-")</f>
        <v>1305</v>
      </c>
      <c r="U57" s="2">
        <f t="shared" si="9"/>
        <v>1278.8999999999999</v>
      </c>
      <c r="V57" s="10">
        <f>Table1[[#This Row],[2013]]+Table1[[#This Row],[2014]]+Table1[[#This Row],[2015]]+Table1[[#This Row],[2016]]+Table1[[#This Row],[2017]]+Table1[[#This Row],[2018]]+Table1[[#This Row],[2019]]+Table1[[#This Row],[2020]]+Table1[[#This Row],[2021]]+Table1[[#This Row],[2025]]</f>
        <v>1305</v>
      </c>
      <c r="W57" s="7">
        <f>Table1[[#This Row],[2013(20%)]]+Table1[[#This Row],[2014(20%)]]+Table1[[#This Row],[2015(20%)]]+Table1[[#This Row],[2016(20%)]]+Table1[[#This Row],[2017(60%)]]+Table1[[#This Row],[2018(60%)]]+Table1[[#This Row],[2019(60%)]]+Table1[[#This Row],[2020(60%)]]+Table1[[#This Row],[2020(60%)]]+Table1[[#This Row],[2021(60%)]]+Table1[[#This Row],[2025(2%)]]</f>
        <v>1278.8999999999999</v>
      </c>
    </row>
  </sheetData>
  <conditionalFormatting sqref="A2:A50">
    <cfRule type="duplicateValues" dxfId="1" priority="1"/>
  </conditionalFormatting>
  <pageMargins left="0.7" right="0.7" top="0.75" bottom="0.75" header="0.3" footer="0.3"/>
  <ignoredErrors>
    <ignoredError sqref="B11 B14:B17 B18:B31 B32:B46 B47:B57 D6:D57 F6:F57 H6:H57 J3:J57 L2:L57 N2:N57 P2:P57 R2:R57 T2:T50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1EBA-4C3A-4C28-9116-4719F1A7682B}">
  <dimension ref="A1:W57"/>
  <sheetViews>
    <sheetView workbookViewId="0">
      <selection activeCell="A23" sqref="A23:XFD23"/>
    </sheetView>
  </sheetViews>
  <sheetFormatPr defaultRowHeight="14.5" x14ac:dyDescent="0.35"/>
  <cols>
    <col min="1" max="1" width="19.90625" customWidth="1"/>
    <col min="3" max="3" width="11.6328125" customWidth="1"/>
    <col min="5" max="5" width="11.6328125" customWidth="1"/>
    <col min="7" max="7" width="11.6328125" customWidth="1"/>
    <col min="9" max="9" width="11.6328125" customWidth="1"/>
    <col min="11" max="11" width="11.6328125" customWidth="1"/>
    <col min="13" max="13" width="11.6328125" customWidth="1"/>
    <col min="15" max="15" width="11.6328125" customWidth="1"/>
    <col min="17" max="17" width="11.6328125" customWidth="1"/>
    <col min="19" max="19" width="11.6328125" customWidth="1"/>
    <col min="21" max="21" width="10.6328125" customWidth="1"/>
    <col min="22" max="22" width="16.6328125" customWidth="1"/>
    <col min="23" max="23" width="11.26953125" customWidth="1"/>
  </cols>
  <sheetData>
    <row r="1" spans="1:23" x14ac:dyDescent="0.35">
      <c r="A1" s="6" t="s">
        <v>0</v>
      </c>
      <c r="B1" s="3" t="s">
        <v>68</v>
      </c>
      <c r="C1" s="4" t="s">
        <v>58</v>
      </c>
      <c r="D1" s="3" t="s">
        <v>69</v>
      </c>
      <c r="E1" s="4" t="s">
        <v>59</v>
      </c>
      <c r="F1" s="3" t="s">
        <v>70</v>
      </c>
      <c r="G1" s="4" t="s">
        <v>60</v>
      </c>
      <c r="H1" s="3" t="s">
        <v>71</v>
      </c>
      <c r="I1" s="4" t="s">
        <v>61</v>
      </c>
      <c r="J1" s="3" t="s">
        <v>72</v>
      </c>
      <c r="K1" s="4" t="s">
        <v>62</v>
      </c>
      <c r="L1" s="3" t="s">
        <v>73</v>
      </c>
      <c r="M1" s="4" t="s">
        <v>63</v>
      </c>
      <c r="N1" s="3" t="s">
        <v>74</v>
      </c>
      <c r="O1" s="4" t="s">
        <v>64</v>
      </c>
      <c r="P1" s="3" t="s">
        <v>75</v>
      </c>
      <c r="Q1" s="4" t="s">
        <v>65</v>
      </c>
      <c r="R1" s="3" t="s">
        <v>76</v>
      </c>
      <c r="S1" s="4" t="s">
        <v>66</v>
      </c>
      <c r="T1" s="3" t="s">
        <v>77</v>
      </c>
      <c r="U1" s="4" t="s">
        <v>67</v>
      </c>
      <c r="V1" s="6" t="s">
        <v>1</v>
      </c>
      <c r="W1" s="9" t="s">
        <v>78</v>
      </c>
    </row>
    <row r="2" spans="1:23" x14ac:dyDescent="0.35">
      <c r="A2" s="11" t="s">
        <v>2</v>
      </c>
      <c r="B2" s="1">
        <f>_xlfn.XLOOKUP(A2,'[1]2013'!A:A,'[1]2013'!N:N,"-")</f>
        <v>935</v>
      </c>
      <c r="C2" s="2">
        <f>B2*0.2</f>
        <v>187</v>
      </c>
      <c r="D2" s="1">
        <f>_xlfn.XLOOKUP(A2,'[1]2014'!A:A,'[1]2014'!N:N,"-")</f>
        <v>2313</v>
      </c>
      <c r="E2" s="2">
        <f>D2*0.3</f>
        <v>693.9</v>
      </c>
      <c r="F2" s="1">
        <f>_xlfn.XLOOKUP(A2,'[1]2015'!A:A,'[1]2015'!N:N,"-")</f>
        <v>1505</v>
      </c>
      <c r="G2" s="2">
        <f>F2*0.3</f>
        <v>451.5</v>
      </c>
      <c r="H2" s="1">
        <f>_xlfn.XLOOKUP(A2,'[1]2016'!A:A,'[1]2016'!N:N,"-")</f>
        <v>4</v>
      </c>
      <c r="I2" s="2">
        <f>H2*0.6</f>
        <v>2.4</v>
      </c>
      <c r="J2" s="1">
        <f>_xlfn.XLOOKUP(A2,'[1]2017'!A:A,'[1]2017'!N:N,"-")</f>
        <v>1</v>
      </c>
      <c r="K2" s="2">
        <f>J2*0.6</f>
        <v>0.6</v>
      </c>
      <c r="L2" s="1">
        <v>0</v>
      </c>
      <c r="M2" s="2">
        <f>L2*0.6</f>
        <v>0</v>
      </c>
      <c r="N2" s="1">
        <v>0</v>
      </c>
      <c r="O2" s="2">
        <f>N2*0.6</f>
        <v>0</v>
      </c>
      <c r="P2" s="1">
        <v>0</v>
      </c>
      <c r="Q2" s="2">
        <f>P2*0.6</f>
        <v>0</v>
      </c>
      <c r="R2" s="1">
        <v>0</v>
      </c>
      <c r="S2" s="2">
        <f>R2*0.6</f>
        <v>0</v>
      </c>
      <c r="T2" s="1">
        <v>0</v>
      </c>
      <c r="U2" s="2">
        <f>T2*0.98</f>
        <v>0</v>
      </c>
      <c r="V2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4758</v>
      </c>
      <c r="W2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1335.4</v>
      </c>
    </row>
    <row r="3" spans="1:23" x14ac:dyDescent="0.35">
      <c r="A3" s="11" t="s">
        <v>3</v>
      </c>
      <c r="B3" s="1">
        <f>_xlfn.XLOOKUP(A3,'[1]2013'!A:A,'[1]2013'!N:N,"-")</f>
        <v>982</v>
      </c>
      <c r="C3" s="2">
        <f t="shared" ref="C3:C57" si="0">B3*0.2</f>
        <v>196.4</v>
      </c>
      <c r="D3" s="1">
        <f>_xlfn.XLOOKUP(A3,'[1]2014'!A:A,'[1]2014'!N:N,"-")</f>
        <v>2569</v>
      </c>
      <c r="E3" s="2">
        <f t="shared" ref="E3:E57" si="1">D3*0.3</f>
        <v>770.69999999999993</v>
      </c>
      <c r="F3" s="1">
        <f>_xlfn.XLOOKUP(A3,'[1]2015'!A:A,'[1]2015'!N:N,"-")</f>
        <v>1557</v>
      </c>
      <c r="G3" s="2">
        <f t="shared" ref="G3:G57" si="2">F3*0.3</f>
        <v>467.09999999999997</v>
      </c>
      <c r="H3" s="1">
        <f>_xlfn.XLOOKUP(A3,'[1]2016'!A:A,'[1]2016'!N:N,"-")</f>
        <v>4</v>
      </c>
      <c r="I3" s="2">
        <f t="shared" ref="I3:I57" si="3">H3*0.6</f>
        <v>2.4</v>
      </c>
      <c r="J3" s="1">
        <v>0</v>
      </c>
      <c r="K3" s="2">
        <f t="shared" ref="K3:K57" si="4">J3*0.6</f>
        <v>0</v>
      </c>
      <c r="L3" s="1">
        <v>0</v>
      </c>
      <c r="M3" s="2">
        <f t="shared" ref="M3:M57" si="5">L3*0.6</f>
        <v>0</v>
      </c>
      <c r="N3" s="1">
        <v>0</v>
      </c>
      <c r="O3" s="2">
        <f t="shared" ref="O3:O57" si="6">N3*0.6</f>
        <v>0</v>
      </c>
      <c r="P3" s="1">
        <v>0</v>
      </c>
      <c r="Q3" s="2">
        <f t="shared" ref="Q3:Q57" si="7">P3*0.6</f>
        <v>0</v>
      </c>
      <c r="R3" s="1">
        <v>0</v>
      </c>
      <c r="S3" s="2">
        <f t="shared" ref="S3:S57" si="8">R3*0.6</f>
        <v>0</v>
      </c>
      <c r="T3" s="1">
        <v>0</v>
      </c>
      <c r="U3" s="2">
        <f t="shared" ref="U3:U57" si="9">T3*0.98</f>
        <v>0</v>
      </c>
      <c r="V3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5112</v>
      </c>
      <c r="W3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1436.6</v>
      </c>
    </row>
    <row r="4" spans="1:23" x14ac:dyDescent="0.35">
      <c r="A4" s="12" t="s">
        <v>4</v>
      </c>
      <c r="B4" s="1">
        <f>_xlfn.XLOOKUP(A4,'[1]2013'!A:A,'[1]2013'!N:N,"-")</f>
        <v>144</v>
      </c>
      <c r="C4" s="2">
        <f t="shared" si="0"/>
        <v>28.8</v>
      </c>
      <c r="D4" s="1">
        <f>_xlfn.XLOOKUP(A4,'[1]2014'!A:A,'[1]2014'!N:N,"-")</f>
        <v>313</v>
      </c>
      <c r="E4" s="2">
        <f t="shared" si="1"/>
        <v>93.899999999999991</v>
      </c>
      <c r="F4" s="1">
        <f>_xlfn.XLOOKUP(A4,'[1]2015'!A:A,'[1]2015'!N:N,"-")</f>
        <v>195</v>
      </c>
      <c r="G4" s="2">
        <f t="shared" si="2"/>
        <v>58.5</v>
      </c>
      <c r="H4" s="1">
        <f>_xlfn.XLOOKUP(A4,'[1]2016'!A:A,'[1]2016'!N:N,"-")</f>
        <v>3</v>
      </c>
      <c r="I4" s="2">
        <f t="shared" si="3"/>
        <v>1.7999999999999998</v>
      </c>
      <c r="J4" s="1">
        <v>0</v>
      </c>
      <c r="K4" s="2">
        <f t="shared" si="4"/>
        <v>0</v>
      </c>
      <c r="L4" s="1">
        <v>0</v>
      </c>
      <c r="M4" s="2">
        <f t="shared" si="5"/>
        <v>0</v>
      </c>
      <c r="N4" s="1">
        <v>0</v>
      </c>
      <c r="O4" s="2">
        <f t="shared" si="6"/>
        <v>0</v>
      </c>
      <c r="P4" s="1">
        <v>0</v>
      </c>
      <c r="Q4" s="2">
        <f t="shared" si="7"/>
        <v>0</v>
      </c>
      <c r="R4" s="1">
        <v>0</v>
      </c>
      <c r="S4" s="2">
        <f t="shared" si="8"/>
        <v>0</v>
      </c>
      <c r="T4" s="1">
        <v>0</v>
      </c>
      <c r="U4" s="2">
        <f t="shared" si="9"/>
        <v>0</v>
      </c>
      <c r="V4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655</v>
      </c>
      <c r="W4" s="8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183</v>
      </c>
    </row>
    <row r="5" spans="1:23" x14ac:dyDescent="0.35">
      <c r="A5" s="11" t="s">
        <v>5</v>
      </c>
      <c r="B5" s="1">
        <f>_xlfn.XLOOKUP(A5,'[1]2013'!A:A,'[1]2013'!N:N,"-")</f>
        <v>2061</v>
      </c>
      <c r="C5" s="2">
        <f t="shared" si="0"/>
        <v>412.20000000000005</v>
      </c>
      <c r="D5" s="1">
        <f>_xlfn.XLOOKUP(A5,'[1]2014'!A:A,'[1]2014'!N:N,"-")</f>
        <v>5195</v>
      </c>
      <c r="E5" s="2">
        <f t="shared" si="1"/>
        <v>1558.5</v>
      </c>
      <c r="F5" s="1">
        <f>_xlfn.XLOOKUP(A5,'[1]2015'!A:A,'[1]2015'!N:N,"-")</f>
        <v>3257</v>
      </c>
      <c r="G5" s="2">
        <f t="shared" si="2"/>
        <v>977.09999999999991</v>
      </c>
      <c r="H5" s="1">
        <f>_xlfn.XLOOKUP(A5,'[1]2016'!A:A,'[1]2016'!N:N,"-")</f>
        <v>11</v>
      </c>
      <c r="I5" s="2">
        <f t="shared" si="3"/>
        <v>6.6</v>
      </c>
      <c r="J5" s="1">
        <v>0</v>
      </c>
      <c r="K5" s="2">
        <f t="shared" si="4"/>
        <v>0</v>
      </c>
      <c r="L5" s="1">
        <v>0</v>
      </c>
      <c r="M5" s="2">
        <f t="shared" si="5"/>
        <v>0</v>
      </c>
      <c r="N5" s="1">
        <v>0</v>
      </c>
      <c r="O5" s="2">
        <f t="shared" si="6"/>
        <v>0</v>
      </c>
      <c r="P5" s="1">
        <v>0</v>
      </c>
      <c r="Q5" s="2">
        <f t="shared" si="7"/>
        <v>0</v>
      </c>
      <c r="R5" s="1">
        <v>0</v>
      </c>
      <c r="S5" s="2">
        <f t="shared" si="8"/>
        <v>0</v>
      </c>
      <c r="T5" s="1">
        <v>0</v>
      </c>
      <c r="U5" s="2">
        <f t="shared" si="9"/>
        <v>0</v>
      </c>
      <c r="V5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10524</v>
      </c>
      <c r="W5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2954.4</v>
      </c>
    </row>
    <row r="6" spans="1:23" x14ac:dyDescent="0.35">
      <c r="A6" s="5" t="s">
        <v>6</v>
      </c>
      <c r="B6" s="1">
        <f>_xlfn.XLOOKUP(A6,'[1]2013'!A:A,'[1]2013'!N:N,"-")</f>
        <v>9</v>
      </c>
      <c r="C6" s="2">
        <f t="shared" si="0"/>
        <v>1.8</v>
      </c>
      <c r="D6" s="1">
        <v>0</v>
      </c>
      <c r="E6" s="2">
        <f t="shared" si="1"/>
        <v>0</v>
      </c>
      <c r="F6" s="1">
        <v>0</v>
      </c>
      <c r="G6" s="2">
        <f t="shared" si="2"/>
        <v>0</v>
      </c>
      <c r="H6" s="1">
        <v>0</v>
      </c>
      <c r="I6" s="2">
        <f t="shared" si="3"/>
        <v>0</v>
      </c>
      <c r="J6" s="1">
        <v>0</v>
      </c>
      <c r="K6" s="2">
        <f t="shared" si="4"/>
        <v>0</v>
      </c>
      <c r="L6" s="1">
        <v>0</v>
      </c>
      <c r="M6" s="2">
        <f t="shared" si="5"/>
        <v>0</v>
      </c>
      <c r="N6" s="1">
        <v>0</v>
      </c>
      <c r="O6" s="2">
        <f t="shared" si="6"/>
        <v>0</v>
      </c>
      <c r="P6" s="1">
        <v>0</v>
      </c>
      <c r="Q6" s="2">
        <f t="shared" si="7"/>
        <v>0</v>
      </c>
      <c r="R6" s="1">
        <v>0</v>
      </c>
      <c r="S6" s="2">
        <f t="shared" si="8"/>
        <v>0</v>
      </c>
      <c r="T6" s="1">
        <v>0</v>
      </c>
      <c r="U6" s="2">
        <f t="shared" si="9"/>
        <v>0</v>
      </c>
      <c r="V6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9</v>
      </c>
      <c r="W6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1.8</v>
      </c>
    </row>
    <row r="7" spans="1:23" x14ac:dyDescent="0.35">
      <c r="A7" s="5" t="s">
        <v>7</v>
      </c>
      <c r="B7" s="1">
        <f>_xlfn.XLOOKUP(A7,'[1]2013'!A:A,'[1]2013'!N:N,"-")</f>
        <v>75</v>
      </c>
      <c r="C7" s="2">
        <f t="shared" si="0"/>
        <v>15</v>
      </c>
      <c r="D7" s="1">
        <f>_xlfn.XLOOKUP(A7,'[1]2014'!A:A,'[1]2014'!N:N,"-")</f>
        <v>322</v>
      </c>
      <c r="E7" s="2">
        <f t="shared" si="1"/>
        <v>96.6</v>
      </c>
      <c r="F7" s="1">
        <f>_xlfn.XLOOKUP(A7,'[1]2015'!A:A,'[1]2015'!N:N,"-")</f>
        <v>3</v>
      </c>
      <c r="G7" s="2">
        <f t="shared" si="2"/>
        <v>0.89999999999999991</v>
      </c>
      <c r="H7" s="1">
        <v>0</v>
      </c>
      <c r="I7" s="2">
        <f t="shared" si="3"/>
        <v>0</v>
      </c>
      <c r="J7" s="1">
        <v>0</v>
      </c>
      <c r="K7" s="2">
        <f t="shared" si="4"/>
        <v>0</v>
      </c>
      <c r="L7" s="1">
        <v>0</v>
      </c>
      <c r="M7" s="2">
        <f t="shared" si="5"/>
        <v>0</v>
      </c>
      <c r="N7" s="1">
        <v>0</v>
      </c>
      <c r="O7" s="2">
        <f t="shared" si="6"/>
        <v>0</v>
      </c>
      <c r="P7" s="1">
        <v>0</v>
      </c>
      <c r="Q7" s="2">
        <f t="shared" si="7"/>
        <v>0</v>
      </c>
      <c r="R7" s="1">
        <v>0</v>
      </c>
      <c r="S7" s="2">
        <f t="shared" si="8"/>
        <v>0</v>
      </c>
      <c r="T7" s="1">
        <v>0</v>
      </c>
      <c r="U7" s="2">
        <f t="shared" si="9"/>
        <v>0</v>
      </c>
      <c r="V7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400</v>
      </c>
      <c r="W7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112.5</v>
      </c>
    </row>
    <row r="8" spans="1:23" x14ac:dyDescent="0.35">
      <c r="A8" s="5" t="s">
        <v>8</v>
      </c>
      <c r="B8" s="1">
        <f>_xlfn.XLOOKUP(A8,'[1]2013'!A:A,'[1]2013'!N:N,"-")</f>
        <v>168</v>
      </c>
      <c r="C8" s="2">
        <f t="shared" si="0"/>
        <v>33.6</v>
      </c>
      <c r="D8" s="1">
        <f>_xlfn.XLOOKUP(A8,'[1]2014'!A:A,'[1]2014'!N:N,"-")</f>
        <v>105</v>
      </c>
      <c r="E8" s="2">
        <f t="shared" si="1"/>
        <v>31.5</v>
      </c>
      <c r="F8" s="1">
        <f>_xlfn.XLOOKUP(A8,'[1]2015'!A:A,'[1]2015'!N:N,"-")</f>
        <v>1</v>
      </c>
      <c r="G8" s="2">
        <f t="shared" si="2"/>
        <v>0.3</v>
      </c>
      <c r="H8" s="1">
        <v>0</v>
      </c>
      <c r="I8" s="2">
        <f t="shared" si="3"/>
        <v>0</v>
      </c>
      <c r="J8" s="1">
        <v>0</v>
      </c>
      <c r="K8" s="2">
        <f t="shared" si="4"/>
        <v>0</v>
      </c>
      <c r="L8" s="1">
        <v>0</v>
      </c>
      <c r="M8" s="2">
        <f t="shared" si="5"/>
        <v>0</v>
      </c>
      <c r="N8" s="1">
        <v>0</v>
      </c>
      <c r="O8" s="2">
        <f t="shared" si="6"/>
        <v>0</v>
      </c>
      <c r="P8" s="1">
        <v>0</v>
      </c>
      <c r="Q8" s="2">
        <f t="shared" si="7"/>
        <v>0</v>
      </c>
      <c r="R8" s="1">
        <v>0</v>
      </c>
      <c r="S8" s="2">
        <f t="shared" si="8"/>
        <v>0</v>
      </c>
      <c r="T8" s="1">
        <v>0</v>
      </c>
      <c r="U8" s="2">
        <f t="shared" si="9"/>
        <v>0</v>
      </c>
      <c r="V8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274</v>
      </c>
      <c r="W8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65.399999999999991</v>
      </c>
    </row>
    <row r="9" spans="1:23" x14ac:dyDescent="0.35">
      <c r="A9" s="5" t="s">
        <v>9</v>
      </c>
      <c r="B9" s="1">
        <f>_xlfn.XLOOKUP(A9,'[1]2013'!A:A,'[1]2013'!N:N,"-")</f>
        <v>2</v>
      </c>
      <c r="C9" s="2">
        <f t="shared" si="0"/>
        <v>0.4</v>
      </c>
      <c r="D9" s="1">
        <f>_xlfn.XLOOKUP(A9,'[1]2014'!A:A,'[1]2014'!N:N,"-")</f>
        <v>5</v>
      </c>
      <c r="E9" s="2">
        <f t="shared" si="1"/>
        <v>1.5</v>
      </c>
      <c r="F9" s="1">
        <f>_xlfn.XLOOKUP(A9,'[1]2015'!A:A,'[1]2015'!N:N,"-")</f>
        <v>2</v>
      </c>
      <c r="G9" s="2">
        <f t="shared" si="2"/>
        <v>0.6</v>
      </c>
      <c r="H9" s="1">
        <v>0</v>
      </c>
      <c r="I9" s="2">
        <f t="shared" si="3"/>
        <v>0</v>
      </c>
      <c r="J9" s="1">
        <v>0</v>
      </c>
      <c r="K9" s="2">
        <f t="shared" si="4"/>
        <v>0</v>
      </c>
      <c r="L9" s="1">
        <v>0</v>
      </c>
      <c r="M9" s="2">
        <f t="shared" si="5"/>
        <v>0</v>
      </c>
      <c r="N9" s="1">
        <v>0</v>
      </c>
      <c r="O9" s="2">
        <f t="shared" si="6"/>
        <v>0</v>
      </c>
      <c r="P9" s="1">
        <v>0</v>
      </c>
      <c r="Q9" s="2">
        <f t="shared" si="7"/>
        <v>0</v>
      </c>
      <c r="R9" s="1">
        <v>0</v>
      </c>
      <c r="S9" s="2">
        <f t="shared" si="8"/>
        <v>0</v>
      </c>
      <c r="T9" s="1">
        <v>0</v>
      </c>
      <c r="U9" s="2">
        <f t="shared" si="9"/>
        <v>0</v>
      </c>
      <c r="V9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9</v>
      </c>
      <c r="W9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2.5</v>
      </c>
    </row>
    <row r="10" spans="1:23" x14ac:dyDescent="0.35">
      <c r="A10" s="5" t="s">
        <v>10</v>
      </c>
      <c r="B10" s="1">
        <f>_xlfn.XLOOKUP(A10,'[1]2013'!A:A,'[1]2013'!N:N,"-")</f>
        <v>25</v>
      </c>
      <c r="C10" s="2">
        <f t="shared" si="0"/>
        <v>5</v>
      </c>
      <c r="D10" s="1">
        <f>_xlfn.XLOOKUP(A10,'[1]2014'!A:A,'[1]2014'!N:N,"-")</f>
        <v>3</v>
      </c>
      <c r="E10" s="2">
        <f t="shared" si="1"/>
        <v>0.89999999999999991</v>
      </c>
      <c r="F10" s="1">
        <v>0</v>
      </c>
      <c r="G10" s="2">
        <f t="shared" si="2"/>
        <v>0</v>
      </c>
      <c r="H10" s="1">
        <v>0</v>
      </c>
      <c r="I10" s="2">
        <f t="shared" si="3"/>
        <v>0</v>
      </c>
      <c r="J10" s="1">
        <v>0</v>
      </c>
      <c r="K10" s="2">
        <f t="shared" si="4"/>
        <v>0</v>
      </c>
      <c r="L10" s="1">
        <v>0</v>
      </c>
      <c r="M10" s="2">
        <f t="shared" si="5"/>
        <v>0</v>
      </c>
      <c r="N10" s="1">
        <v>0</v>
      </c>
      <c r="O10" s="2">
        <f t="shared" si="6"/>
        <v>0</v>
      </c>
      <c r="P10" s="1">
        <v>0</v>
      </c>
      <c r="Q10" s="2">
        <f t="shared" si="7"/>
        <v>0</v>
      </c>
      <c r="R10" s="1">
        <v>0</v>
      </c>
      <c r="S10" s="2">
        <f t="shared" si="8"/>
        <v>0</v>
      </c>
      <c r="T10" s="1">
        <v>0</v>
      </c>
      <c r="U10" s="2">
        <f t="shared" si="9"/>
        <v>0</v>
      </c>
      <c r="V10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28</v>
      </c>
      <c r="W10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5.9</v>
      </c>
    </row>
    <row r="11" spans="1:23" x14ac:dyDescent="0.35">
      <c r="A11" s="5" t="s">
        <v>11</v>
      </c>
      <c r="B11" s="1">
        <v>0</v>
      </c>
      <c r="C11" s="2">
        <f>B11*0.2</f>
        <v>0</v>
      </c>
      <c r="D11" s="1">
        <f>_xlfn.XLOOKUP(A11,'[1]2014'!A:A,'[1]2014'!N:N,"-")</f>
        <v>3</v>
      </c>
      <c r="E11" s="2">
        <f t="shared" si="1"/>
        <v>0.89999999999999991</v>
      </c>
      <c r="F11" s="1">
        <f>_xlfn.XLOOKUP(A11,'[1]2015'!A:A,'[1]2015'!N:N,"-")</f>
        <v>51</v>
      </c>
      <c r="G11" s="2">
        <f t="shared" si="2"/>
        <v>15.299999999999999</v>
      </c>
      <c r="H11" s="1">
        <v>0</v>
      </c>
      <c r="I11" s="2">
        <f t="shared" si="3"/>
        <v>0</v>
      </c>
      <c r="J11" s="1">
        <f>_xlfn.XLOOKUP(A11,'[1]2017'!A:A,'[1]2017'!N:N,"-")</f>
        <v>2</v>
      </c>
      <c r="K11" s="2">
        <f t="shared" si="4"/>
        <v>1.2</v>
      </c>
      <c r="L11" s="1">
        <f>_xlfn.XLOOKUP(A11,'[1]2018'!A:A,'[1]2018'!N:N,"-")</f>
        <v>4</v>
      </c>
      <c r="M11" s="2">
        <f t="shared" si="5"/>
        <v>2.4</v>
      </c>
      <c r="N11" s="1">
        <f>_xlfn.XLOOKUP(A11,'[1]2019'!A:A,'[1]2019'!N:N,"-")</f>
        <v>2</v>
      </c>
      <c r="O11" s="2">
        <f t="shared" si="6"/>
        <v>1.2</v>
      </c>
      <c r="P11" s="1">
        <f>_xlfn.XLOOKUP(A11,'[1]2020'!A:A,'[1]2020'!N:N,"-")</f>
        <v>1</v>
      </c>
      <c r="Q11" s="2">
        <f t="shared" si="7"/>
        <v>0.6</v>
      </c>
      <c r="R11" s="1">
        <v>0</v>
      </c>
      <c r="S11" s="2">
        <f t="shared" si="8"/>
        <v>0</v>
      </c>
      <c r="T11" s="1">
        <v>0</v>
      </c>
      <c r="U11" s="2">
        <f t="shared" si="9"/>
        <v>0</v>
      </c>
      <c r="V11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63</v>
      </c>
      <c r="W11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22.2</v>
      </c>
    </row>
    <row r="12" spans="1:23" x14ac:dyDescent="0.35">
      <c r="A12" s="5" t="s">
        <v>12</v>
      </c>
      <c r="B12" s="1">
        <f>_xlfn.XLOOKUP(A12,'[1]2013'!A:A,'[1]2013'!N:N,"-")</f>
        <v>2</v>
      </c>
      <c r="C12" s="2">
        <f>B12*0.2</f>
        <v>0.4</v>
      </c>
      <c r="D12" s="1">
        <v>0</v>
      </c>
      <c r="E12" s="2">
        <f t="shared" si="1"/>
        <v>0</v>
      </c>
      <c r="F12" s="1">
        <v>0</v>
      </c>
      <c r="G12" s="2">
        <f t="shared" si="2"/>
        <v>0</v>
      </c>
      <c r="H12" s="1">
        <v>0</v>
      </c>
      <c r="I12" s="2">
        <f t="shared" si="3"/>
        <v>0</v>
      </c>
      <c r="J12" s="1">
        <v>0</v>
      </c>
      <c r="K12" s="2">
        <f t="shared" si="4"/>
        <v>0</v>
      </c>
      <c r="L12" s="1">
        <v>0</v>
      </c>
      <c r="M12" s="2">
        <f t="shared" si="5"/>
        <v>0</v>
      </c>
      <c r="N12" s="1">
        <v>0</v>
      </c>
      <c r="O12" s="2">
        <f t="shared" si="6"/>
        <v>0</v>
      </c>
      <c r="P12" s="1">
        <v>0</v>
      </c>
      <c r="Q12" s="2">
        <f t="shared" si="7"/>
        <v>0</v>
      </c>
      <c r="R12" s="1">
        <v>0</v>
      </c>
      <c r="S12" s="2">
        <f t="shared" si="8"/>
        <v>0</v>
      </c>
      <c r="T12" s="1">
        <v>0</v>
      </c>
      <c r="U12" s="2">
        <f t="shared" si="9"/>
        <v>0</v>
      </c>
      <c r="V12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2</v>
      </c>
      <c r="W12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0.4</v>
      </c>
    </row>
    <row r="13" spans="1:23" x14ac:dyDescent="0.35">
      <c r="A13" s="11" t="s">
        <v>13</v>
      </c>
      <c r="B13" s="1">
        <f>_xlfn.XLOOKUP(A13,'[1]2013'!A:A,'[1]2013'!N:N,"-")</f>
        <v>1741</v>
      </c>
      <c r="C13" s="2">
        <f>B13*0.2</f>
        <v>348.20000000000005</v>
      </c>
      <c r="D13" s="1">
        <f>_xlfn.XLOOKUP(A13,'[1]2014'!A:A,'[1]2014'!N:N,"-")</f>
        <v>3291</v>
      </c>
      <c r="E13" s="2">
        <f t="shared" si="1"/>
        <v>987.3</v>
      </c>
      <c r="F13" s="1">
        <f>_xlfn.XLOOKUP(A13,'[1]2015'!A:A,'[1]2015'!N:N,"-")</f>
        <v>1515</v>
      </c>
      <c r="G13" s="2">
        <f t="shared" si="2"/>
        <v>454.5</v>
      </c>
      <c r="H13" s="1">
        <f>_xlfn.XLOOKUP(A13,'[1]2016'!A:A,'[1]2016'!N:N,"-")</f>
        <v>21</v>
      </c>
      <c r="I13" s="2">
        <f t="shared" si="3"/>
        <v>12.6</v>
      </c>
      <c r="J13" s="1">
        <v>0</v>
      </c>
      <c r="K13" s="2">
        <f t="shared" si="4"/>
        <v>0</v>
      </c>
      <c r="L13" s="1">
        <v>0</v>
      </c>
      <c r="M13" s="2">
        <f t="shared" si="5"/>
        <v>0</v>
      </c>
      <c r="N13" s="1">
        <v>0</v>
      </c>
      <c r="O13" s="2">
        <f t="shared" si="6"/>
        <v>0</v>
      </c>
      <c r="P13" s="1">
        <v>0</v>
      </c>
      <c r="Q13" s="2">
        <f t="shared" si="7"/>
        <v>0</v>
      </c>
      <c r="R13" s="1">
        <v>0</v>
      </c>
      <c r="S13" s="2">
        <f t="shared" si="8"/>
        <v>0</v>
      </c>
      <c r="T13" s="1">
        <v>0</v>
      </c>
      <c r="U13" s="2">
        <f t="shared" si="9"/>
        <v>0</v>
      </c>
      <c r="V13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6568</v>
      </c>
      <c r="W13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1802.6</v>
      </c>
    </row>
    <row r="14" spans="1:23" x14ac:dyDescent="0.35">
      <c r="A14" s="5" t="s">
        <v>14</v>
      </c>
      <c r="B14" s="1">
        <v>0</v>
      </c>
      <c r="C14" s="2">
        <f t="shared" si="0"/>
        <v>0</v>
      </c>
      <c r="D14" s="1">
        <f>_xlfn.XLOOKUP(A14,'[1]2014'!A:A,'[1]2014'!N:N,"-")</f>
        <v>1</v>
      </c>
      <c r="E14" s="2">
        <f t="shared" si="1"/>
        <v>0.3</v>
      </c>
      <c r="F14" s="1">
        <v>0</v>
      </c>
      <c r="G14" s="2">
        <f t="shared" si="2"/>
        <v>0</v>
      </c>
      <c r="H14" s="1">
        <v>0</v>
      </c>
      <c r="I14" s="2">
        <f t="shared" si="3"/>
        <v>0</v>
      </c>
      <c r="J14" s="1">
        <v>0</v>
      </c>
      <c r="K14" s="2">
        <f t="shared" si="4"/>
        <v>0</v>
      </c>
      <c r="L14" s="1">
        <v>0</v>
      </c>
      <c r="M14" s="2">
        <f t="shared" si="5"/>
        <v>0</v>
      </c>
      <c r="N14" s="1">
        <v>0</v>
      </c>
      <c r="O14" s="2">
        <f t="shared" si="6"/>
        <v>0</v>
      </c>
      <c r="P14" s="1">
        <v>0</v>
      </c>
      <c r="Q14" s="2">
        <f t="shared" si="7"/>
        <v>0</v>
      </c>
      <c r="R14" s="1">
        <v>0</v>
      </c>
      <c r="S14" s="2">
        <f t="shared" si="8"/>
        <v>0</v>
      </c>
      <c r="T14" s="1">
        <v>0</v>
      </c>
      <c r="U14" s="2">
        <f t="shared" si="9"/>
        <v>0</v>
      </c>
      <c r="V14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1</v>
      </c>
      <c r="W14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0.3</v>
      </c>
    </row>
    <row r="15" spans="1:23" x14ac:dyDescent="0.35">
      <c r="A15" s="11" t="s">
        <v>15</v>
      </c>
      <c r="B15" s="1">
        <v>0</v>
      </c>
      <c r="C15" s="2">
        <f t="shared" si="0"/>
        <v>0</v>
      </c>
      <c r="D15" s="1">
        <f>_xlfn.XLOOKUP(A15,'[1]2014'!A:A,'[1]2014'!N:N,"-")</f>
        <v>5</v>
      </c>
      <c r="E15" s="2">
        <f t="shared" si="1"/>
        <v>1.5</v>
      </c>
      <c r="F15" s="1">
        <f>_xlfn.XLOOKUP(A15,'[1]2015'!A:A,'[1]2015'!N:N,"-")</f>
        <v>32</v>
      </c>
      <c r="G15" s="2">
        <f t="shared" si="2"/>
        <v>9.6</v>
      </c>
      <c r="H15" s="1">
        <f>_xlfn.XLOOKUP(A15,'[1]2016'!A:A,'[1]2016'!N:N,"-")</f>
        <v>80</v>
      </c>
      <c r="I15" s="2">
        <f t="shared" si="3"/>
        <v>48</v>
      </c>
      <c r="J15" s="1">
        <f>_xlfn.XLOOKUP(A15,'[1]2017'!A:A,'[1]2017'!N:N,"-")</f>
        <v>91</v>
      </c>
      <c r="K15" s="2">
        <f t="shared" si="4"/>
        <v>54.6</v>
      </c>
      <c r="L15" s="1">
        <f>_xlfn.XLOOKUP(A15,'[1]2018'!A:A,'[1]2018'!N:N,"-")</f>
        <v>169</v>
      </c>
      <c r="M15" s="2">
        <f t="shared" si="5"/>
        <v>101.39999999999999</v>
      </c>
      <c r="N15" s="1">
        <f>_xlfn.XLOOKUP(A15,'[1]2019'!A:A,'[1]2019'!N:N,"-")</f>
        <v>1306</v>
      </c>
      <c r="O15" s="2">
        <f t="shared" si="6"/>
        <v>783.6</v>
      </c>
      <c r="P15" s="1">
        <f>_xlfn.XLOOKUP(A15,'[1]2020'!A:A,'[1]2020'!N:N,"-")</f>
        <v>943</v>
      </c>
      <c r="Q15" s="2">
        <f t="shared" si="7"/>
        <v>565.79999999999995</v>
      </c>
      <c r="R15" s="1">
        <f>_xlfn.XLOOKUP(A15,'[1]2021'!A:A,'[1]2021'!N:N,"-")</f>
        <v>3</v>
      </c>
      <c r="S15" s="2">
        <f t="shared" si="8"/>
        <v>1.7999999999999998</v>
      </c>
      <c r="T15" s="1">
        <f>_xlfn.XLOOKUP(A15,'[1]2025'!A:A,'[1]2025'!N:N,"-")</f>
        <v>849</v>
      </c>
      <c r="U15" s="2">
        <f t="shared" si="9"/>
        <v>832.02</v>
      </c>
      <c r="V15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3478</v>
      </c>
      <c r="W15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2964.1200000000003</v>
      </c>
    </row>
    <row r="16" spans="1:23" x14ac:dyDescent="0.35">
      <c r="A16" s="11" t="s">
        <v>16</v>
      </c>
      <c r="B16" s="1">
        <v>0</v>
      </c>
      <c r="C16" s="2">
        <f t="shared" si="0"/>
        <v>0</v>
      </c>
      <c r="D16" s="1">
        <f>_xlfn.XLOOKUP(A16,'[1]2014'!A:A,'[1]2014'!N:N,"-")</f>
        <v>55</v>
      </c>
      <c r="E16" s="2">
        <f t="shared" si="1"/>
        <v>16.5</v>
      </c>
      <c r="F16" s="1">
        <f>_xlfn.XLOOKUP(A16,'[1]2015'!A:A,'[1]2015'!N:N,"-")</f>
        <v>1559</v>
      </c>
      <c r="G16" s="2">
        <f t="shared" si="2"/>
        <v>467.7</v>
      </c>
      <c r="H16" s="1">
        <f>_xlfn.XLOOKUP(A16,'[1]2016'!A:A,'[1]2016'!N:N,"-")</f>
        <v>857</v>
      </c>
      <c r="I16" s="2">
        <f t="shared" si="3"/>
        <v>514.19999999999993</v>
      </c>
      <c r="J16" s="1">
        <v>0</v>
      </c>
      <c r="K16" s="2">
        <f t="shared" si="4"/>
        <v>0</v>
      </c>
      <c r="L16" s="1">
        <v>0</v>
      </c>
      <c r="M16" s="2">
        <f t="shared" si="5"/>
        <v>0</v>
      </c>
      <c r="N16" s="1">
        <v>0</v>
      </c>
      <c r="O16" s="2">
        <f t="shared" si="6"/>
        <v>0</v>
      </c>
      <c r="P16" s="1">
        <v>0</v>
      </c>
      <c r="Q16" s="2">
        <f t="shared" si="7"/>
        <v>0</v>
      </c>
      <c r="R16" s="1">
        <v>0</v>
      </c>
      <c r="S16" s="2">
        <f t="shared" si="8"/>
        <v>0</v>
      </c>
      <c r="T16" s="1">
        <v>0</v>
      </c>
      <c r="U16" s="2">
        <f t="shared" si="9"/>
        <v>0</v>
      </c>
      <c r="V16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2471</v>
      </c>
      <c r="W16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998.39999999999986</v>
      </c>
    </row>
    <row r="17" spans="1:23" x14ac:dyDescent="0.35">
      <c r="A17" s="11" t="s">
        <v>17</v>
      </c>
      <c r="B17" s="1">
        <v>0</v>
      </c>
      <c r="C17" s="2">
        <f t="shared" si="0"/>
        <v>0</v>
      </c>
      <c r="D17" s="1">
        <v>0</v>
      </c>
      <c r="E17" s="2">
        <f t="shared" si="1"/>
        <v>0</v>
      </c>
      <c r="F17" s="1">
        <f>_xlfn.XLOOKUP(A17,'[1]2015'!A:A,'[1]2015'!N:N,"-")</f>
        <v>2153</v>
      </c>
      <c r="G17" s="2">
        <f t="shared" si="2"/>
        <v>645.9</v>
      </c>
      <c r="H17" s="1">
        <f>_xlfn.XLOOKUP(A17,'[1]2016'!A:A,'[1]2016'!N:N,"-")</f>
        <v>3761</v>
      </c>
      <c r="I17" s="2">
        <f t="shared" si="3"/>
        <v>2256.6</v>
      </c>
      <c r="J17" s="1">
        <v>0</v>
      </c>
      <c r="K17" s="2">
        <f t="shared" si="4"/>
        <v>0</v>
      </c>
      <c r="L17" s="1">
        <v>0</v>
      </c>
      <c r="M17" s="2">
        <f t="shared" si="5"/>
        <v>0</v>
      </c>
      <c r="N17" s="1">
        <v>0</v>
      </c>
      <c r="O17" s="2">
        <f t="shared" si="6"/>
        <v>0</v>
      </c>
      <c r="P17" s="1">
        <v>0</v>
      </c>
      <c r="Q17" s="2">
        <f t="shared" si="7"/>
        <v>0</v>
      </c>
      <c r="R17" s="1">
        <v>0</v>
      </c>
      <c r="S17" s="2">
        <f t="shared" si="8"/>
        <v>0</v>
      </c>
      <c r="T17" s="1">
        <v>0</v>
      </c>
      <c r="U17" s="2">
        <f t="shared" si="9"/>
        <v>0</v>
      </c>
      <c r="V17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5914</v>
      </c>
      <c r="W17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2902.5</v>
      </c>
    </row>
    <row r="18" spans="1:23" x14ac:dyDescent="0.35">
      <c r="A18" s="11" t="s">
        <v>18</v>
      </c>
      <c r="B18" s="1">
        <v>0</v>
      </c>
      <c r="C18" s="2">
        <f t="shared" si="0"/>
        <v>0</v>
      </c>
      <c r="D18" s="1">
        <v>0</v>
      </c>
      <c r="E18" s="2">
        <f t="shared" si="1"/>
        <v>0</v>
      </c>
      <c r="F18" s="1">
        <f>_xlfn.XLOOKUP(A18,'[1]2015'!A:A,'[1]2015'!N:N,"-")</f>
        <v>3942</v>
      </c>
      <c r="G18" s="2">
        <f t="shared" si="2"/>
        <v>1182.5999999999999</v>
      </c>
      <c r="H18" s="1">
        <f>_xlfn.XLOOKUP(A18,'[1]2016'!A:A,'[1]2016'!N:N,"-")</f>
        <v>7195</v>
      </c>
      <c r="I18" s="2">
        <f t="shared" si="3"/>
        <v>4317</v>
      </c>
      <c r="J18" s="1">
        <v>0</v>
      </c>
      <c r="K18" s="2">
        <f t="shared" si="4"/>
        <v>0</v>
      </c>
      <c r="L18" s="1">
        <v>0</v>
      </c>
      <c r="M18" s="2">
        <f t="shared" si="5"/>
        <v>0</v>
      </c>
      <c r="N18" s="1">
        <v>0</v>
      </c>
      <c r="O18" s="2">
        <f t="shared" si="6"/>
        <v>0</v>
      </c>
      <c r="P18" s="1">
        <v>0</v>
      </c>
      <c r="Q18" s="2">
        <f t="shared" si="7"/>
        <v>0</v>
      </c>
      <c r="R18" s="1">
        <v>0</v>
      </c>
      <c r="S18" s="2">
        <f t="shared" si="8"/>
        <v>0</v>
      </c>
      <c r="T18" s="1">
        <v>0</v>
      </c>
      <c r="U18" s="2">
        <f t="shared" si="9"/>
        <v>0</v>
      </c>
      <c r="V18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11137</v>
      </c>
      <c r="W18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5499.6</v>
      </c>
    </row>
    <row r="19" spans="1:23" x14ac:dyDescent="0.35">
      <c r="A19" s="12" t="s">
        <v>19</v>
      </c>
      <c r="B19" s="1">
        <v>0</v>
      </c>
      <c r="C19" s="2">
        <f>B19*0.2</f>
        <v>0</v>
      </c>
      <c r="D19" s="1">
        <v>0</v>
      </c>
      <c r="E19" s="2">
        <f t="shared" si="1"/>
        <v>0</v>
      </c>
      <c r="F19" s="1">
        <f>_xlfn.XLOOKUP(A19,'[1]2015'!A:A,'[1]2015'!N:N,"-")</f>
        <v>410</v>
      </c>
      <c r="G19" s="2">
        <f t="shared" si="2"/>
        <v>123</v>
      </c>
      <c r="H19" s="1">
        <f>_xlfn.XLOOKUP(A19,'[1]2016'!A:A,'[1]2016'!N:N,"-")</f>
        <v>790</v>
      </c>
      <c r="I19" s="2">
        <f t="shared" si="3"/>
        <v>474</v>
      </c>
      <c r="J19" s="1">
        <v>0</v>
      </c>
      <c r="K19" s="2">
        <f t="shared" si="4"/>
        <v>0</v>
      </c>
      <c r="L19" s="1">
        <v>0</v>
      </c>
      <c r="M19" s="2">
        <f t="shared" si="5"/>
        <v>0</v>
      </c>
      <c r="N19" s="1">
        <v>0</v>
      </c>
      <c r="O19" s="2">
        <f t="shared" si="6"/>
        <v>0</v>
      </c>
      <c r="P19" s="1">
        <v>0</v>
      </c>
      <c r="Q19" s="2">
        <f t="shared" si="7"/>
        <v>0</v>
      </c>
      <c r="R19" s="1">
        <v>0</v>
      </c>
      <c r="S19" s="2">
        <f t="shared" si="8"/>
        <v>0</v>
      </c>
      <c r="T19" s="1">
        <v>0</v>
      </c>
      <c r="U19" s="2">
        <f t="shared" si="9"/>
        <v>0</v>
      </c>
      <c r="V19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1200</v>
      </c>
      <c r="W19" s="8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597</v>
      </c>
    </row>
    <row r="20" spans="1:23" x14ac:dyDescent="0.35">
      <c r="A20" s="5" t="s">
        <v>20</v>
      </c>
      <c r="B20" s="1">
        <v>0</v>
      </c>
      <c r="C20" s="2">
        <f>B20*0.2</f>
        <v>0</v>
      </c>
      <c r="D20" s="1">
        <v>0</v>
      </c>
      <c r="E20" s="2">
        <f t="shared" si="1"/>
        <v>0</v>
      </c>
      <c r="F20" s="1">
        <f>_xlfn.XLOOKUP(A20,'[1]2015'!A:A,'[1]2015'!N:N,"-")</f>
        <v>115</v>
      </c>
      <c r="G20" s="2">
        <f t="shared" si="2"/>
        <v>34.5</v>
      </c>
      <c r="H20" s="1">
        <f>_xlfn.XLOOKUP(A20,'[1]2016'!A:A,'[1]2016'!N:N,"-")</f>
        <v>1036</v>
      </c>
      <c r="I20" s="2">
        <f t="shared" si="3"/>
        <v>621.6</v>
      </c>
      <c r="J20" s="1">
        <v>0</v>
      </c>
      <c r="K20" s="2">
        <f t="shared" si="4"/>
        <v>0</v>
      </c>
      <c r="L20" s="1">
        <v>0</v>
      </c>
      <c r="M20" s="2">
        <f t="shared" si="5"/>
        <v>0</v>
      </c>
      <c r="N20" s="1">
        <v>0</v>
      </c>
      <c r="O20" s="2">
        <f t="shared" si="6"/>
        <v>0</v>
      </c>
      <c r="P20" s="1">
        <v>0</v>
      </c>
      <c r="Q20" s="2">
        <f t="shared" si="7"/>
        <v>0</v>
      </c>
      <c r="R20" s="1">
        <v>0</v>
      </c>
      <c r="S20" s="2">
        <f t="shared" si="8"/>
        <v>0</v>
      </c>
      <c r="T20" s="1">
        <v>0</v>
      </c>
      <c r="U20" s="2">
        <f t="shared" si="9"/>
        <v>0</v>
      </c>
      <c r="V20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1151</v>
      </c>
      <c r="W20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656.1</v>
      </c>
    </row>
    <row r="21" spans="1:23" x14ac:dyDescent="0.35">
      <c r="A21" s="11" t="s">
        <v>80</v>
      </c>
      <c r="B21" s="1">
        <v>0</v>
      </c>
      <c r="C21" s="2">
        <f>B21*0.2</f>
        <v>0</v>
      </c>
      <c r="D21" s="1">
        <v>0</v>
      </c>
      <c r="E21" s="2">
        <f t="shared" si="1"/>
        <v>0</v>
      </c>
      <c r="F21" s="1" t="str">
        <f>_xlfn.XLOOKUP(A21,'[1]2015'!A:A,'[1]2015'!N:N,"-")</f>
        <v>-</v>
      </c>
      <c r="G21" s="2" t="e">
        <f t="shared" si="2"/>
        <v>#VALUE!</v>
      </c>
      <c r="H21" s="1" t="str">
        <f>_xlfn.XLOOKUP(A21,'[1]2016'!A:A,'[1]2016'!N:N,"-")</f>
        <v>-</v>
      </c>
      <c r="I21" s="2" t="e">
        <f t="shared" si="3"/>
        <v>#VALUE!</v>
      </c>
      <c r="J21" s="1">
        <v>0</v>
      </c>
      <c r="K21" s="2">
        <f t="shared" si="4"/>
        <v>0</v>
      </c>
      <c r="L21" s="1">
        <v>0</v>
      </c>
      <c r="M21" s="2">
        <f t="shared" si="5"/>
        <v>0</v>
      </c>
      <c r="N21" s="1">
        <v>0</v>
      </c>
      <c r="O21" s="2">
        <f t="shared" si="6"/>
        <v>0</v>
      </c>
      <c r="P21" s="1">
        <v>0</v>
      </c>
      <c r="Q21" s="2">
        <f t="shared" si="7"/>
        <v>0</v>
      </c>
      <c r="R21" s="1">
        <v>0</v>
      </c>
      <c r="S21" s="2">
        <f t="shared" si="8"/>
        <v>0</v>
      </c>
      <c r="T21" s="1">
        <v>0</v>
      </c>
      <c r="U21" s="2">
        <f t="shared" si="9"/>
        <v>0</v>
      </c>
      <c r="V21" s="10" t="e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#VALUE!</v>
      </c>
      <c r="W21" s="7" t="e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#VALUE!</v>
      </c>
    </row>
    <row r="22" spans="1:23" x14ac:dyDescent="0.35">
      <c r="A22" s="5" t="s">
        <v>22</v>
      </c>
      <c r="B22" s="1">
        <v>0</v>
      </c>
      <c r="C22" s="2">
        <f t="shared" si="0"/>
        <v>0</v>
      </c>
      <c r="D22" s="1">
        <v>0</v>
      </c>
      <c r="E22" s="2">
        <f t="shared" si="1"/>
        <v>0</v>
      </c>
      <c r="F22" s="1">
        <v>0</v>
      </c>
      <c r="G22" s="2">
        <f t="shared" si="2"/>
        <v>0</v>
      </c>
      <c r="H22" s="1">
        <f>_xlfn.XLOOKUP(A22,'[1]2016'!A:A,'[1]2016'!N:N,"-")</f>
        <v>702</v>
      </c>
      <c r="I22" s="2">
        <f t="shared" si="3"/>
        <v>421.2</v>
      </c>
      <c r="J22" s="1">
        <v>0</v>
      </c>
      <c r="K22" s="2">
        <f t="shared" si="4"/>
        <v>0</v>
      </c>
      <c r="L22" s="1">
        <v>0</v>
      </c>
      <c r="M22" s="2">
        <f t="shared" si="5"/>
        <v>0</v>
      </c>
      <c r="N22" s="1">
        <v>0</v>
      </c>
      <c r="O22" s="2">
        <f t="shared" si="6"/>
        <v>0</v>
      </c>
      <c r="P22" s="1">
        <v>0</v>
      </c>
      <c r="Q22" s="2">
        <f t="shared" si="7"/>
        <v>0</v>
      </c>
      <c r="R22" s="1">
        <v>0</v>
      </c>
      <c r="S22" s="2">
        <f t="shared" si="8"/>
        <v>0</v>
      </c>
      <c r="T22" s="1">
        <v>0</v>
      </c>
      <c r="U22" s="2">
        <f t="shared" si="9"/>
        <v>0</v>
      </c>
      <c r="V22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702</v>
      </c>
      <c r="W22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421.2</v>
      </c>
    </row>
    <row r="23" spans="1:23" x14ac:dyDescent="0.35">
      <c r="A23" s="11" t="s">
        <v>79</v>
      </c>
      <c r="B23" s="1">
        <v>0</v>
      </c>
      <c r="C23" s="2">
        <f t="shared" si="0"/>
        <v>0</v>
      </c>
      <c r="D23" s="1">
        <v>0</v>
      </c>
      <c r="E23" s="2">
        <f t="shared" si="1"/>
        <v>0</v>
      </c>
      <c r="F23" s="1">
        <v>0</v>
      </c>
      <c r="G23" s="2">
        <f t="shared" si="2"/>
        <v>0</v>
      </c>
      <c r="H23" s="1" t="str">
        <f>_xlfn.XLOOKUP(A23,'[1]2016'!A:A,'[1]2016'!N:N,"-")</f>
        <v>-</v>
      </c>
      <c r="I23" s="2" t="e">
        <f t="shared" si="3"/>
        <v>#VALUE!</v>
      </c>
      <c r="J23" s="1">
        <v>0</v>
      </c>
      <c r="K23" s="2">
        <f t="shared" si="4"/>
        <v>0</v>
      </c>
      <c r="L23" s="1">
        <v>0</v>
      </c>
      <c r="M23" s="2">
        <f t="shared" si="5"/>
        <v>0</v>
      </c>
      <c r="N23" s="1">
        <v>0</v>
      </c>
      <c r="O23" s="2">
        <f t="shared" si="6"/>
        <v>0</v>
      </c>
      <c r="P23" s="1">
        <v>0</v>
      </c>
      <c r="Q23" s="2">
        <f t="shared" si="7"/>
        <v>0</v>
      </c>
      <c r="R23" s="1">
        <v>0</v>
      </c>
      <c r="S23" s="2">
        <f t="shared" si="8"/>
        <v>0</v>
      </c>
      <c r="T23" s="1">
        <v>0</v>
      </c>
      <c r="U23" s="2">
        <f t="shared" si="9"/>
        <v>0</v>
      </c>
      <c r="V23" s="10" t="e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#VALUE!</v>
      </c>
      <c r="W23" s="8" t="e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#VALUE!</v>
      </c>
    </row>
    <row r="24" spans="1:23" x14ac:dyDescent="0.35">
      <c r="A24" s="11" t="s">
        <v>24</v>
      </c>
      <c r="B24" s="1">
        <v>0</v>
      </c>
      <c r="C24" s="2">
        <f t="shared" si="0"/>
        <v>0</v>
      </c>
      <c r="D24" s="1">
        <v>0</v>
      </c>
      <c r="E24" s="2">
        <f t="shared" si="1"/>
        <v>0</v>
      </c>
      <c r="F24" s="1">
        <v>0</v>
      </c>
      <c r="G24" s="2">
        <f t="shared" si="2"/>
        <v>0</v>
      </c>
      <c r="H24" s="1">
        <f>_xlfn.XLOOKUP(A24,'[1]2016'!A:A,'[1]2016'!N:N,"-")</f>
        <v>5598</v>
      </c>
      <c r="I24" s="2">
        <f t="shared" si="3"/>
        <v>3358.7999999999997</v>
      </c>
      <c r="J24" s="1">
        <v>0</v>
      </c>
      <c r="K24" s="2">
        <f t="shared" si="4"/>
        <v>0</v>
      </c>
      <c r="L24" s="1">
        <v>0</v>
      </c>
      <c r="M24" s="2">
        <f t="shared" si="5"/>
        <v>0</v>
      </c>
      <c r="N24" s="1">
        <v>0</v>
      </c>
      <c r="O24" s="2">
        <f t="shared" si="6"/>
        <v>0</v>
      </c>
      <c r="P24" s="1">
        <v>0</v>
      </c>
      <c r="Q24" s="2">
        <f t="shared" si="7"/>
        <v>0</v>
      </c>
      <c r="R24" s="1">
        <v>0</v>
      </c>
      <c r="S24" s="2">
        <f t="shared" si="8"/>
        <v>0</v>
      </c>
      <c r="T24" s="1">
        <v>0</v>
      </c>
      <c r="U24" s="2">
        <f t="shared" si="9"/>
        <v>0</v>
      </c>
      <c r="V24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5598</v>
      </c>
      <c r="W24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3358.7999999999997</v>
      </c>
    </row>
    <row r="25" spans="1:23" x14ac:dyDescent="0.35">
      <c r="A25" s="11" t="s">
        <v>25</v>
      </c>
      <c r="B25" s="1">
        <v>0</v>
      </c>
      <c r="C25" s="2">
        <f t="shared" si="0"/>
        <v>0</v>
      </c>
      <c r="D25" s="1">
        <v>0</v>
      </c>
      <c r="E25" s="2">
        <f t="shared" si="1"/>
        <v>0</v>
      </c>
      <c r="F25" s="1">
        <v>0</v>
      </c>
      <c r="G25" s="2">
        <f t="shared" si="2"/>
        <v>0</v>
      </c>
      <c r="H25" s="1">
        <f>_xlfn.XLOOKUP(A25,'[1]2016'!A:A,'[1]2016'!N:N,"-")</f>
        <v>507</v>
      </c>
      <c r="I25" s="2">
        <f t="shared" si="3"/>
        <v>304.2</v>
      </c>
      <c r="J25" s="1">
        <v>0</v>
      </c>
      <c r="K25" s="2">
        <f t="shared" si="4"/>
        <v>0</v>
      </c>
      <c r="L25" s="1">
        <v>0</v>
      </c>
      <c r="M25" s="2">
        <f t="shared" si="5"/>
        <v>0</v>
      </c>
      <c r="N25" s="1">
        <v>0</v>
      </c>
      <c r="O25" s="2">
        <f t="shared" si="6"/>
        <v>0</v>
      </c>
      <c r="P25" s="1">
        <v>0</v>
      </c>
      <c r="Q25" s="2">
        <f t="shared" si="7"/>
        <v>0</v>
      </c>
      <c r="R25" s="1">
        <v>0</v>
      </c>
      <c r="S25" s="2">
        <f t="shared" si="8"/>
        <v>0</v>
      </c>
      <c r="T25" s="1">
        <v>0</v>
      </c>
      <c r="U25" s="2">
        <f t="shared" si="9"/>
        <v>0</v>
      </c>
      <c r="V25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507</v>
      </c>
      <c r="W25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304.2</v>
      </c>
    </row>
    <row r="26" spans="1:23" x14ac:dyDescent="0.35">
      <c r="A26" s="5" t="s">
        <v>26</v>
      </c>
      <c r="B26" s="1">
        <v>0</v>
      </c>
      <c r="C26" s="2">
        <f t="shared" si="0"/>
        <v>0</v>
      </c>
      <c r="D26" s="1">
        <v>0</v>
      </c>
      <c r="E26" s="2">
        <f t="shared" si="1"/>
        <v>0</v>
      </c>
      <c r="F26" s="1">
        <v>0</v>
      </c>
      <c r="G26" s="2">
        <f t="shared" si="2"/>
        <v>0</v>
      </c>
      <c r="H26" s="1">
        <v>0</v>
      </c>
      <c r="I26" s="2">
        <f t="shared" si="3"/>
        <v>0</v>
      </c>
      <c r="J26" s="1">
        <f>_xlfn.XLOOKUP(A26,'[1]2017'!A:A,'[1]2017'!N:N,"-")</f>
        <v>8</v>
      </c>
      <c r="K26" s="2">
        <f t="shared" si="4"/>
        <v>4.8</v>
      </c>
      <c r="L26" s="1">
        <v>0</v>
      </c>
      <c r="M26" s="2">
        <f t="shared" si="5"/>
        <v>0</v>
      </c>
      <c r="N26" s="1">
        <v>0</v>
      </c>
      <c r="O26" s="2">
        <f t="shared" si="6"/>
        <v>0</v>
      </c>
      <c r="P26" s="1">
        <v>0</v>
      </c>
      <c r="Q26" s="2">
        <f t="shared" si="7"/>
        <v>0</v>
      </c>
      <c r="R26" s="1">
        <v>0</v>
      </c>
      <c r="S26" s="2">
        <f t="shared" si="8"/>
        <v>0</v>
      </c>
      <c r="T26" s="1">
        <v>0</v>
      </c>
      <c r="U26" s="2">
        <f t="shared" si="9"/>
        <v>0</v>
      </c>
      <c r="V26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8</v>
      </c>
      <c r="W26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4.8</v>
      </c>
    </row>
    <row r="27" spans="1:23" x14ac:dyDescent="0.35">
      <c r="A27" s="11" t="s">
        <v>27</v>
      </c>
      <c r="B27" s="1">
        <v>0</v>
      </c>
      <c r="C27" s="2">
        <f t="shared" si="0"/>
        <v>0</v>
      </c>
      <c r="D27" s="1">
        <v>0</v>
      </c>
      <c r="E27" s="2">
        <f t="shared" si="1"/>
        <v>0</v>
      </c>
      <c r="F27" s="1">
        <v>0</v>
      </c>
      <c r="G27" s="2">
        <f t="shared" si="2"/>
        <v>0</v>
      </c>
      <c r="H27" s="1">
        <v>0</v>
      </c>
      <c r="I27" s="2">
        <f t="shared" si="3"/>
        <v>0</v>
      </c>
      <c r="J27" s="1">
        <f>_xlfn.XLOOKUP(A27,'[1]2017'!A:A,'[1]2017'!N:N,"-")</f>
        <v>3606</v>
      </c>
      <c r="K27" s="2">
        <f t="shared" si="4"/>
        <v>2163.6</v>
      </c>
      <c r="L27" s="1">
        <f>_xlfn.XLOOKUP(A27,'[1]2018'!A:A,'[1]2018'!N:N,"-")</f>
        <v>6504</v>
      </c>
      <c r="M27" s="2">
        <f t="shared" si="5"/>
        <v>3902.3999999999996</v>
      </c>
      <c r="N27" s="1">
        <f>_xlfn.XLOOKUP(A27,'[1]2019'!A:A,'[1]2019'!N:N,"-")</f>
        <v>6151</v>
      </c>
      <c r="O27" s="2">
        <f t="shared" si="6"/>
        <v>3690.6</v>
      </c>
      <c r="P27" s="1">
        <f>_xlfn.XLOOKUP(A27,'[1]2020'!A:A,'[1]2020'!N:N,"-")</f>
        <v>3421</v>
      </c>
      <c r="Q27" s="2">
        <f t="shared" si="7"/>
        <v>2052.6</v>
      </c>
      <c r="R27" s="1">
        <f>_xlfn.XLOOKUP(A27,'[1]2021'!A:A,'[1]2021'!N:N,"-")</f>
        <v>2</v>
      </c>
      <c r="S27" s="2">
        <f t="shared" si="8"/>
        <v>1.2</v>
      </c>
      <c r="T27" s="1">
        <v>0</v>
      </c>
      <c r="U27" s="2">
        <f t="shared" si="9"/>
        <v>0</v>
      </c>
      <c r="V27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19684</v>
      </c>
      <c r="W27" s="8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13863.000000000002</v>
      </c>
    </row>
    <row r="28" spans="1:23" x14ac:dyDescent="0.35">
      <c r="A28" s="11" t="s">
        <v>28</v>
      </c>
      <c r="B28" s="1">
        <v>0</v>
      </c>
      <c r="C28" s="2">
        <f t="shared" si="0"/>
        <v>0</v>
      </c>
      <c r="D28" s="1">
        <v>0</v>
      </c>
      <c r="E28" s="2">
        <f t="shared" si="1"/>
        <v>0</v>
      </c>
      <c r="F28" s="1">
        <v>0</v>
      </c>
      <c r="G28" s="2">
        <f t="shared" si="2"/>
        <v>0</v>
      </c>
      <c r="H28" s="1">
        <v>0</v>
      </c>
      <c r="I28" s="2">
        <f t="shared" si="3"/>
        <v>0</v>
      </c>
      <c r="J28" s="1">
        <f>_xlfn.XLOOKUP(A28,'[1]2017'!A:A,'[1]2017'!N:N,"-")</f>
        <v>9248</v>
      </c>
      <c r="K28" s="2">
        <f t="shared" si="4"/>
        <v>5548.8</v>
      </c>
      <c r="L28" s="1">
        <f>_xlfn.XLOOKUP(A28,'[1]2018'!A:A,'[1]2018'!N:N,"-")</f>
        <v>10415</v>
      </c>
      <c r="M28" s="2">
        <f t="shared" si="5"/>
        <v>6249</v>
      </c>
      <c r="N28" s="1">
        <f>_xlfn.XLOOKUP(A28,'[1]2019'!A:A,'[1]2019'!N:N,"-")</f>
        <v>3605</v>
      </c>
      <c r="O28" s="2">
        <f t="shared" si="6"/>
        <v>2163</v>
      </c>
      <c r="P28" s="1">
        <f>_xlfn.XLOOKUP(A28,'[1]2020'!A:A,'[1]2020'!N:N,"-")</f>
        <v>5</v>
      </c>
      <c r="Q28" s="2">
        <f t="shared" si="7"/>
        <v>3</v>
      </c>
      <c r="R28" s="1">
        <v>0</v>
      </c>
      <c r="S28" s="2">
        <f t="shared" si="8"/>
        <v>0</v>
      </c>
      <c r="T28" s="1">
        <v>0</v>
      </c>
      <c r="U28" s="2">
        <f t="shared" si="9"/>
        <v>0</v>
      </c>
      <c r="V28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23273</v>
      </c>
      <c r="W28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13966.8</v>
      </c>
    </row>
    <row r="29" spans="1:23" x14ac:dyDescent="0.35">
      <c r="A29" s="12" t="s">
        <v>29</v>
      </c>
      <c r="B29" s="1">
        <v>0</v>
      </c>
      <c r="C29" s="2">
        <f t="shared" si="0"/>
        <v>0</v>
      </c>
      <c r="D29" s="1">
        <v>0</v>
      </c>
      <c r="E29" s="2">
        <f t="shared" si="1"/>
        <v>0</v>
      </c>
      <c r="F29" s="1">
        <v>0</v>
      </c>
      <c r="G29" s="2">
        <f t="shared" si="2"/>
        <v>0</v>
      </c>
      <c r="H29" s="1">
        <v>0</v>
      </c>
      <c r="I29" s="2">
        <f t="shared" si="3"/>
        <v>0</v>
      </c>
      <c r="J29" s="1">
        <f>_xlfn.XLOOKUP(A29,'[1]2017'!A:A,'[1]2017'!N:N,"-")</f>
        <v>37</v>
      </c>
      <c r="K29" s="2">
        <f t="shared" si="4"/>
        <v>22.2</v>
      </c>
      <c r="L29" s="1">
        <f>_xlfn.XLOOKUP(A29,'[1]2018'!A:A,'[1]2018'!N:N,"-")</f>
        <v>151</v>
      </c>
      <c r="M29" s="2">
        <f t="shared" si="5"/>
        <v>90.6</v>
      </c>
      <c r="N29" s="1">
        <f>_xlfn.XLOOKUP(A29,'[1]2019'!A:A,'[1]2019'!N:N,"-")</f>
        <v>39</v>
      </c>
      <c r="O29" s="2">
        <f t="shared" si="6"/>
        <v>23.4</v>
      </c>
      <c r="P29" s="1">
        <f>_xlfn.XLOOKUP(A29,'[1]2020'!A:A,'[1]2020'!N:N,"-")</f>
        <v>50</v>
      </c>
      <c r="Q29" s="2">
        <f t="shared" si="7"/>
        <v>30</v>
      </c>
      <c r="R29" s="1">
        <f>_xlfn.XLOOKUP(A29,'[1]2021'!A:A,'[1]2021'!N:N,"-")</f>
        <v>1</v>
      </c>
      <c r="S29" s="2">
        <f t="shared" si="8"/>
        <v>0.6</v>
      </c>
      <c r="T29" s="1">
        <v>0</v>
      </c>
      <c r="U29" s="2">
        <f t="shared" si="9"/>
        <v>0</v>
      </c>
      <c r="V29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278</v>
      </c>
      <c r="W29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196.79999999999998</v>
      </c>
    </row>
    <row r="30" spans="1:23" x14ac:dyDescent="0.35">
      <c r="A30" s="11" t="s">
        <v>30</v>
      </c>
      <c r="B30" s="1">
        <v>0</v>
      </c>
      <c r="C30" s="2">
        <f t="shared" si="0"/>
        <v>0</v>
      </c>
      <c r="D30" s="1">
        <v>0</v>
      </c>
      <c r="E30" s="2">
        <f t="shared" si="1"/>
        <v>0</v>
      </c>
      <c r="F30" s="1">
        <v>0</v>
      </c>
      <c r="G30" s="2">
        <f t="shared" si="2"/>
        <v>0</v>
      </c>
      <c r="H30" s="1">
        <v>0</v>
      </c>
      <c r="I30" s="2">
        <f t="shared" si="3"/>
        <v>0</v>
      </c>
      <c r="J30" s="1">
        <f>_xlfn.XLOOKUP(A30,'[1]2017'!A:A,'[1]2017'!N:N,"-")</f>
        <v>1059</v>
      </c>
      <c r="K30" s="2">
        <f t="shared" si="4"/>
        <v>635.4</v>
      </c>
      <c r="L30" s="1">
        <f>_xlfn.XLOOKUP(A30,'[1]2018'!A:A,'[1]2018'!N:N,"-")</f>
        <v>1181</v>
      </c>
      <c r="M30" s="2">
        <f t="shared" si="5"/>
        <v>708.6</v>
      </c>
      <c r="N30" s="1">
        <f>_xlfn.XLOOKUP(A30,'[1]2019'!A:A,'[1]2019'!N:N,"-")</f>
        <v>786</v>
      </c>
      <c r="O30" s="2">
        <f t="shared" si="6"/>
        <v>471.59999999999997</v>
      </c>
      <c r="P30" s="1">
        <f>_xlfn.XLOOKUP(A30,'[1]2020'!A:A,'[1]2020'!N:N,"-")</f>
        <v>442</v>
      </c>
      <c r="Q30" s="2">
        <f t="shared" si="7"/>
        <v>265.2</v>
      </c>
      <c r="R30" s="1">
        <f>_xlfn.XLOOKUP(A30,'[1]2021'!A:A,'[1]2021'!N:N,"-")</f>
        <v>7</v>
      </c>
      <c r="S30" s="2">
        <f t="shared" si="8"/>
        <v>4.2</v>
      </c>
      <c r="T30" s="1">
        <v>0</v>
      </c>
      <c r="U30" s="2">
        <f t="shared" si="9"/>
        <v>0</v>
      </c>
      <c r="V30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3475</v>
      </c>
      <c r="W30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2350.1999999999994</v>
      </c>
    </row>
    <row r="31" spans="1:23" x14ac:dyDescent="0.35">
      <c r="A31" s="5" t="s">
        <v>31</v>
      </c>
      <c r="B31" s="1">
        <v>0</v>
      </c>
      <c r="C31" s="2">
        <f t="shared" si="0"/>
        <v>0</v>
      </c>
      <c r="D31" s="1">
        <v>0</v>
      </c>
      <c r="E31" s="2">
        <f t="shared" si="1"/>
        <v>0</v>
      </c>
      <c r="F31" s="1">
        <v>0</v>
      </c>
      <c r="G31" s="2">
        <f t="shared" si="2"/>
        <v>0</v>
      </c>
      <c r="H31" s="1">
        <v>0</v>
      </c>
      <c r="I31" s="2">
        <f t="shared" si="3"/>
        <v>0</v>
      </c>
      <c r="J31" s="1">
        <f>_xlfn.XLOOKUP(A31,'[1]2017'!A:A,'[1]2017'!N:N,"-")</f>
        <v>668</v>
      </c>
      <c r="K31" s="2">
        <f t="shared" si="4"/>
        <v>400.8</v>
      </c>
      <c r="L31" s="1">
        <f>_xlfn.XLOOKUP(A31,'[1]2018'!A:A,'[1]2018'!N:N,"-")</f>
        <v>504</v>
      </c>
      <c r="M31" s="2">
        <f t="shared" si="5"/>
        <v>302.39999999999998</v>
      </c>
      <c r="N31" s="1">
        <f>_xlfn.XLOOKUP(A31,'[1]2019'!A:A,'[1]2019'!N:N,"-")</f>
        <v>367</v>
      </c>
      <c r="O31" s="2">
        <f t="shared" si="6"/>
        <v>220.2</v>
      </c>
      <c r="P31" s="1">
        <f>_xlfn.XLOOKUP(A31,'[1]2020'!A:A,'[1]2020'!N:N,"-")</f>
        <v>237</v>
      </c>
      <c r="Q31" s="2">
        <f t="shared" si="7"/>
        <v>142.19999999999999</v>
      </c>
      <c r="R31" s="1">
        <f>_xlfn.XLOOKUP(A31,'[1]2021'!A:A,'[1]2021'!N:N,"-")</f>
        <v>18</v>
      </c>
      <c r="S31" s="2">
        <f t="shared" si="8"/>
        <v>10.799999999999999</v>
      </c>
      <c r="T31" s="1">
        <v>0</v>
      </c>
      <c r="U31" s="2">
        <f t="shared" si="9"/>
        <v>0</v>
      </c>
      <c r="V31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1794</v>
      </c>
      <c r="W31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1218.6000000000001</v>
      </c>
    </row>
    <row r="32" spans="1:23" x14ac:dyDescent="0.35">
      <c r="A32" s="11" t="s">
        <v>32</v>
      </c>
      <c r="B32" s="1">
        <v>0</v>
      </c>
      <c r="C32" s="2">
        <f t="shared" si="0"/>
        <v>0</v>
      </c>
      <c r="D32" s="1">
        <v>0</v>
      </c>
      <c r="E32" s="2">
        <f t="shared" si="1"/>
        <v>0</v>
      </c>
      <c r="F32" s="1">
        <v>0</v>
      </c>
      <c r="G32" s="2">
        <f t="shared" si="2"/>
        <v>0</v>
      </c>
      <c r="H32" s="1">
        <v>0</v>
      </c>
      <c r="I32" s="2">
        <f t="shared" si="3"/>
        <v>0</v>
      </c>
      <c r="J32" s="1">
        <f>_xlfn.XLOOKUP(A32,'[1]2017'!A:A,'[1]2017'!N:N,"-")</f>
        <v>29</v>
      </c>
      <c r="K32" s="2">
        <f t="shared" si="4"/>
        <v>17.399999999999999</v>
      </c>
      <c r="L32" s="1">
        <v>0</v>
      </c>
      <c r="M32" s="2">
        <f t="shared" si="5"/>
        <v>0</v>
      </c>
      <c r="N32" s="1">
        <f>_xlfn.XLOOKUP(A32,'[1]2019'!A:A,'[1]2019'!N:N,"-")</f>
        <v>70</v>
      </c>
      <c r="O32" s="2">
        <f t="shared" si="6"/>
        <v>42</v>
      </c>
      <c r="P32" s="1">
        <f>_xlfn.XLOOKUP(A32,'[1]2020'!A:A,'[1]2020'!N:N,"-")</f>
        <v>1</v>
      </c>
      <c r="Q32" s="2">
        <f t="shared" si="7"/>
        <v>0.6</v>
      </c>
      <c r="R32" s="1">
        <v>0</v>
      </c>
      <c r="S32" s="2">
        <f t="shared" si="8"/>
        <v>0</v>
      </c>
      <c r="T32" s="1">
        <v>0</v>
      </c>
      <c r="U32" s="2">
        <f t="shared" si="9"/>
        <v>0</v>
      </c>
      <c r="V32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100</v>
      </c>
      <c r="W32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60.6</v>
      </c>
    </row>
    <row r="33" spans="1:23" x14ac:dyDescent="0.35">
      <c r="A33" s="11" t="s">
        <v>33</v>
      </c>
      <c r="B33" s="1">
        <v>0</v>
      </c>
      <c r="C33" s="2">
        <f t="shared" si="0"/>
        <v>0</v>
      </c>
      <c r="D33" s="1">
        <v>0</v>
      </c>
      <c r="E33" s="2">
        <f t="shared" si="1"/>
        <v>0</v>
      </c>
      <c r="F33" s="1">
        <v>0</v>
      </c>
      <c r="G33" s="2">
        <f t="shared" si="2"/>
        <v>0</v>
      </c>
      <c r="H33" s="1">
        <v>0</v>
      </c>
      <c r="I33" s="2">
        <f t="shared" si="3"/>
        <v>0</v>
      </c>
      <c r="J33" s="1">
        <f>_xlfn.XLOOKUP(A33,'[1]2017'!A:A,'[1]2017'!N:N,"-")</f>
        <v>119</v>
      </c>
      <c r="K33" s="2">
        <f t="shared" si="4"/>
        <v>71.399999999999991</v>
      </c>
      <c r="L33" s="1">
        <f>_xlfn.XLOOKUP(A33,'[1]2018'!A:A,'[1]2018'!N:N,"-")</f>
        <v>1497</v>
      </c>
      <c r="M33" s="2">
        <f t="shared" si="5"/>
        <v>898.19999999999993</v>
      </c>
      <c r="N33" s="1">
        <f>_xlfn.XLOOKUP(A33,'[1]2019'!A:A,'[1]2019'!N:N,"-")</f>
        <v>879</v>
      </c>
      <c r="O33" s="2">
        <f t="shared" si="6"/>
        <v>527.4</v>
      </c>
      <c r="P33" s="1">
        <f>_xlfn.XLOOKUP(A33,'[1]2020'!A:A,'[1]2020'!N:N,"-")</f>
        <v>435</v>
      </c>
      <c r="Q33" s="2">
        <f t="shared" si="7"/>
        <v>261</v>
      </c>
      <c r="R33" s="1">
        <v>0</v>
      </c>
      <c r="S33" s="2">
        <f t="shared" si="8"/>
        <v>0</v>
      </c>
      <c r="T33" s="1">
        <v>0</v>
      </c>
      <c r="U33" s="2">
        <f t="shared" si="9"/>
        <v>0</v>
      </c>
      <c r="V33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2930</v>
      </c>
      <c r="W33" s="8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2019</v>
      </c>
    </row>
    <row r="34" spans="1:23" x14ac:dyDescent="0.35">
      <c r="A34" s="5" t="s">
        <v>34</v>
      </c>
      <c r="B34" s="1">
        <v>0</v>
      </c>
      <c r="C34" s="2">
        <f t="shared" si="0"/>
        <v>0</v>
      </c>
      <c r="D34" s="1">
        <v>0</v>
      </c>
      <c r="E34" s="2">
        <f t="shared" si="1"/>
        <v>0</v>
      </c>
      <c r="F34" s="1">
        <v>0</v>
      </c>
      <c r="G34" s="2">
        <f t="shared" si="2"/>
        <v>0</v>
      </c>
      <c r="H34" s="1">
        <v>0</v>
      </c>
      <c r="I34" s="2">
        <f t="shared" si="3"/>
        <v>0</v>
      </c>
      <c r="J34" s="1">
        <f>_xlfn.XLOOKUP(A34,'[1]2017'!A:A,'[1]2017'!N:N,"-")</f>
        <v>411</v>
      </c>
      <c r="K34" s="2">
        <f t="shared" si="4"/>
        <v>246.6</v>
      </c>
      <c r="L34" s="1">
        <f>_xlfn.XLOOKUP(A34,'[1]2018'!A:A,'[1]2018'!N:N,"-")</f>
        <v>726</v>
      </c>
      <c r="M34" s="2">
        <f t="shared" si="5"/>
        <v>435.59999999999997</v>
      </c>
      <c r="N34" s="1">
        <f>_xlfn.XLOOKUP(A34,'[1]2019'!A:A,'[1]2019'!N:N,"-")</f>
        <v>774</v>
      </c>
      <c r="O34" s="2">
        <f t="shared" si="6"/>
        <v>464.4</v>
      </c>
      <c r="P34" s="1">
        <f>_xlfn.XLOOKUP(A34,'[1]2020'!A:A,'[1]2020'!N:N,"-")</f>
        <v>605</v>
      </c>
      <c r="Q34" s="2">
        <f t="shared" si="7"/>
        <v>363</v>
      </c>
      <c r="R34" s="1">
        <f>_xlfn.XLOOKUP(A34,'[1]2021'!A:A,'[1]2021'!N:N,"-")</f>
        <v>1</v>
      </c>
      <c r="S34" s="2">
        <f t="shared" si="8"/>
        <v>0.6</v>
      </c>
      <c r="T34" s="1">
        <v>0</v>
      </c>
      <c r="U34" s="2">
        <f t="shared" si="9"/>
        <v>0</v>
      </c>
      <c r="V34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2517</v>
      </c>
      <c r="W34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1873.1999999999998</v>
      </c>
    </row>
    <row r="35" spans="1:23" x14ac:dyDescent="0.35">
      <c r="A35" s="5" t="s">
        <v>35</v>
      </c>
      <c r="B35" s="1">
        <v>0</v>
      </c>
      <c r="C35" s="2">
        <f t="shared" si="0"/>
        <v>0</v>
      </c>
      <c r="D35" s="1">
        <v>0</v>
      </c>
      <c r="E35" s="2">
        <f t="shared" si="1"/>
        <v>0</v>
      </c>
      <c r="F35" s="1">
        <v>0</v>
      </c>
      <c r="G35" s="2">
        <f t="shared" si="2"/>
        <v>0</v>
      </c>
      <c r="H35" s="1">
        <v>0</v>
      </c>
      <c r="I35" s="2">
        <f t="shared" si="3"/>
        <v>0</v>
      </c>
      <c r="J35" s="1">
        <f>_xlfn.XLOOKUP(A35,'[1]2017'!A:A,'[1]2017'!N:N,"-")</f>
        <v>223</v>
      </c>
      <c r="K35" s="2">
        <f t="shared" si="4"/>
        <v>133.79999999999998</v>
      </c>
      <c r="L35" s="1">
        <f>_xlfn.XLOOKUP(A35,'[1]2018'!A:A,'[1]2018'!N:N,"-")</f>
        <v>99</v>
      </c>
      <c r="M35" s="2">
        <f t="shared" si="5"/>
        <v>59.4</v>
      </c>
      <c r="N35" s="1">
        <f>_xlfn.XLOOKUP(A35,'[1]2019'!A:A,'[1]2019'!N:N,"-")</f>
        <v>35</v>
      </c>
      <c r="O35" s="2">
        <f t="shared" si="6"/>
        <v>21</v>
      </c>
      <c r="P35" s="1">
        <f>_xlfn.XLOOKUP(A35,'[1]2020'!A:A,'[1]2020'!N:N,"-")</f>
        <v>6</v>
      </c>
      <c r="Q35" s="2">
        <f t="shared" si="7"/>
        <v>3.5999999999999996</v>
      </c>
      <c r="R35" s="1">
        <f>_xlfn.XLOOKUP(A35,'[1]2021'!A:A,'[1]2021'!N:N,"-")</f>
        <v>1</v>
      </c>
      <c r="S35" s="2">
        <f t="shared" si="8"/>
        <v>0.6</v>
      </c>
      <c r="T35" s="1">
        <v>0</v>
      </c>
      <c r="U35" s="2">
        <f t="shared" si="9"/>
        <v>0</v>
      </c>
      <c r="V35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364</v>
      </c>
      <c r="W35" s="8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221.99999999999997</v>
      </c>
    </row>
    <row r="36" spans="1:23" x14ac:dyDescent="0.35">
      <c r="A36" s="11" t="s">
        <v>36</v>
      </c>
      <c r="B36" s="1">
        <v>0</v>
      </c>
      <c r="C36" s="2">
        <f t="shared" si="0"/>
        <v>0</v>
      </c>
      <c r="D36" s="1">
        <v>0</v>
      </c>
      <c r="E36" s="2">
        <f t="shared" si="1"/>
        <v>0</v>
      </c>
      <c r="F36" s="1">
        <v>0</v>
      </c>
      <c r="G36" s="2">
        <f t="shared" si="2"/>
        <v>0</v>
      </c>
      <c r="H36" s="1">
        <v>0</v>
      </c>
      <c r="I36" s="2">
        <f t="shared" si="3"/>
        <v>0</v>
      </c>
      <c r="J36" s="1">
        <f>_xlfn.XLOOKUP(A36,'[1]2017'!A:A,'[1]2017'!N:N,"-")</f>
        <v>17074</v>
      </c>
      <c r="K36" s="2">
        <f t="shared" si="4"/>
        <v>10244.4</v>
      </c>
      <c r="L36" s="1">
        <f>_xlfn.XLOOKUP(A36,'[1]2018'!A:A,'[1]2018'!N:N,"-")</f>
        <v>13647</v>
      </c>
      <c r="M36" s="2">
        <f t="shared" si="5"/>
        <v>8188.2</v>
      </c>
      <c r="N36" s="1">
        <f>_xlfn.XLOOKUP(A36,'[1]2019'!A:A,'[1]2019'!N:N,"-")</f>
        <v>7628</v>
      </c>
      <c r="O36" s="2">
        <f t="shared" si="6"/>
        <v>4576.8</v>
      </c>
      <c r="P36" s="1">
        <f>_xlfn.XLOOKUP(A36,'[1]2020'!A:A,'[1]2020'!N:N,"-")</f>
        <v>3729</v>
      </c>
      <c r="Q36" s="2">
        <f t="shared" si="7"/>
        <v>2237.4</v>
      </c>
      <c r="R36" s="1">
        <f>_xlfn.XLOOKUP(A36,'[1]2021'!A:A,'[1]2021'!N:N,"-")</f>
        <v>6</v>
      </c>
      <c r="S36" s="2">
        <f t="shared" si="8"/>
        <v>3.5999999999999996</v>
      </c>
      <c r="T36" s="1">
        <v>0</v>
      </c>
      <c r="U36" s="2">
        <f t="shared" si="9"/>
        <v>0</v>
      </c>
      <c r="V36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42084</v>
      </c>
      <c r="W36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27487.8</v>
      </c>
    </row>
    <row r="37" spans="1:23" x14ac:dyDescent="0.35">
      <c r="A37" s="11" t="s">
        <v>37</v>
      </c>
      <c r="B37" s="1">
        <v>0</v>
      </c>
      <c r="C37" s="2">
        <f t="shared" si="0"/>
        <v>0</v>
      </c>
      <c r="D37" s="1">
        <v>0</v>
      </c>
      <c r="E37" s="2">
        <f t="shared" si="1"/>
        <v>0</v>
      </c>
      <c r="F37" s="1">
        <v>0</v>
      </c>
      <c r="G37" s="2">
        <f t="shared" si="2"/>
        <v>0</v>
      </c>
      <c r="H37" s="1">
        <v>0</v>
      </c>
      <c r="I37" s="2">
        <f t="shared" si="3"/>
        <v>0</v>
      </c>
      <c r="J37" s="1">
        <f>_xlfn.XLOOKUP(A37,'[1]2017'!A:A,'[1]2017'!N:N,"-")</f>
        <v>7171</v>
      </c>
      <c r="K37" s="2">
        <f t="shared" si="4"/>
        <v>4302.5999999999995</v>
      </c>
      <c r="L37" s="1">
        <f>_xlfn.XLOOKUP(A37,'[1]2018'!A:A,'[1]2018'!N:N,"-")</f>
        <v>16804</v>
      </c>
      <c r="M37" s="2">
        <f t="shared" si="5"/>
        <v>10082.4</v>
      </c>
      <c r="N37" s="1">
        <f>_xlfn.XLOOKUP(A37,'[1]2019'!A:A,'[1]2019'!N:N,"-")</f>
        <v>12170</v>
      </c>
      <c r="O37" s="2">
        <f t="shared" si="6"/>
        <v>7302</v>
      </c>
      <c r="P37" s="1">
        <f>_xlfn.XLOOKUP(A37,'[1]2020'!A:A,'[1]2020'!N:N,"-")</f>
        <v>5907</v>
      </c>
      <c r="Q37" s="2">
        <f t="shared" si="7"/>
        <v>3544.2</v>
      </c>
      <c r="R37" s="1">
        <f>_xlfn.XLOOKUP(A37,'[1]2021'!A:A,'[1]2021'!N:N,"-")</f>
        <v>5</v>
      </c>
      <c r="S37" s="2">
        <f t="shared" si="8"/>
        <v>3</v>
      </c>
      <c r="T37" s="1">
        <v>0</v>
      </c>
      <c r="U37" s="2">
        <f t="shared" si="9"/>
        <v>0</v>
      </c>
      <c r="V37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42057</v>
      </c>
      <c r="W37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28778.400000000001</v>
      </c>
    </row>
    <row r="38" spans="1:23" x14ac:dyDescent="0.35">
      <c r="A38" s="5" t="s">
        <v>38</v>
      </c>
      <c r="B38" s="1">
        <v>0</v>
      </c>
      <c r="C38" s="2">
        <f t="shared" si="0"/>
        <v>0</v>
      </c>
      <c r="D38" s="1">
        <v>0</v>
      </c>
      <c r="E38" s="2">
        <f t="shared" si="1"/>
        <v>0</v>
      </c>
      <c r="F38" s="1">
        <v>0</v>
      </c>
      <c r="G38" s="2">
        <f t="shared" si="2"/>
        <v>0</v>
      </c>
      <c r="H38" s="1">
        <v>0</v>
      </c>
      <c r="I38" s="2">
        <f t="shared" si="3"/>
        <v>0</v>
      </c>
      <c r="J38" s="1">
        <v>0</v>
      </c>
      <c r="K38" s="2">
        <f t="shared" si="4"/>
        <v>0</v>
      </c>
      <c r="L38" s="1">
        <f>_xlfn.XLOOKUP(A38,'[1]2018'!A:A,'[1]2018'!N:N,"-")</f>
        <v>15</v>
      </c>
      <c r="M38" s="2">
        <f t="shared" si="5"/>
        <v>9</v>
      </c>
      <c r="N38" s="1">
        <v>0</v>
      </c>
      <c r="O38" s="2">
        <f t="shared" si="6"/>
        <v>0</v>
      </c>
      <c r="P38" s="1">
        <v>0</v>
      </c>
      <c r="Q38" s="2">
        <f t="shared" si="7"/>
        <v>0</v>
      </c>
      <c r="R38" s="1">
        <v>0</v>
      </c>
      <c r="S38" s="2">
        <f t="shared" si="8"/>
        <v>0</v>
      </c>
      <c r="T38" s="1">
        <v>0</v>
      </c>
      <c r="U38" s="2">
        <f t="shared" si="9"/>
        <v>0</v>
      </c>
      <c r="V38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15</v>
      </c>
      <c r="W38" s="8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9</v>
      </c>
    </row>
    <row r="39" spans="1:23" x14ac:dyDescent="0.35">
      <c r="A39" s="12" t="s">
        <v>39</v>
      </c>
      <c r="B39" s="1">
        <v>0</v>
      </c>
      <c r="C39" s="2">
        <f t="shared" si="0"/>
        <v>0</v>
      </c>
      <c r="D39" s="1">
        <v>0</v>
      </c>
      <c r="E39" s="2">
        <f t="shared" si="1"/>
        <v>0</v>
      </c>
      <c r="F39" s="1">
        <v>0</v>
      </c>
      <c r="G39" s="2">
        <f t="shared" si="2"/>
        <v>0</v>
      </c>
      <c r="H39" s="1">
        <v>0</v>
      </c>
      <c r="I39" s="2">
        <f t="shared" si="3"/>
        <v>0</v>
      </c>
      <c r="J39" s="1">
        <v>0</v>
      </c>
      <c r="K39" s="2">
        <f t="shared" si="4"/>
        <v>0</v>
      </c>
      <c r="L39" s="1">
        <f>_xlfn.XLOOKUP(A39,'[1]2018'!A:A,'[1]2018'!N:N,"-")</f>
        <v>1255</v>
      </c>
      <c r="M39" s="2">
        <f t="shared" si="5"/>
        <v>753</v>
      </c>
      <c r="N39" s="1">
        <f>_xlfn.XLOOKUP(A39,'[1]2019'!A:A,'[1]2019'!N:N,"-")</f>
        <v>2741</v>
      </c>
      <c r="O39" s="2">
        <f t="shared" si="6"/>
        <v>1644.6</v>
      </c>
      <c r="P39" s="1">
        <v>0</v>
      </c>
      <c r="Q39" s="2">
        <f t="shared" si="7"/>
        <v>0</v>
      </c>
      <c r="R39" s="1">
        <f>_xlfn.XLOOKUP(A39,'[1]2021'!A:A,'[1]2021'!N:N,"-")</f>
        <v>1</v>
      </c>
      <c r="S39" s="2">
        <f t="shared" si="8"/>
        <v>0.6</v>
      </c>
      <c r="T39" s="1">
        <v>0</v>
      </c>
      <c r="U39" s="2">
        <f t="shared" si="9"/>
        <v>0</v>
      </c>
      <c r="V39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3997</v>
      </c>
      <c r="W39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2398.1999999999998</v>
      </c>
    </row>
    <row r="40" spans="1:23" x14ac:dyDescent="0.35">
      <c r="A40" s="5" t="s">
        <v>40</v>
      </c>
      <c r="B40" s="1">
        <v>0</v>
      </c>
      <c r="C40" s="2">
        <f t="shared" si="0"/>
        <v>0</v>
      </c>
      <c r="D40" s="1">
        <v>0</v>
      </c>
      <c r="E40" s="2">
        <f t="shared" si="1"/>
        <v>0</v>
      </c>
      <c r="F40" s="1">
        <v>0</v>
      </c>
      <c r="G40" s="2">
        <f t="shared" si="2"/>
        <v>0</v>
      </c>
      <c r="H40" s="1">
        <v>0</v>
      </c>
      <c r="I40" s="2">
        <f t="shared" si="3"/>
        <v>0</v>
      </c>
      <c r="J40" s="1">
        <v>0</v>
      </c>
      <c r="K40" s="2">
        <f t="shared" si="4"/>
        <v>0</v>
      </c>
      <c r="L40" s="1">
        <f>_xlfn.XLOOKUP(A40,'[1]2018'!A:A,'[1]2018'!N:N,"-")</f>
        <v>537</v>
      </c>
      <c r="M40" s="2">
        <f t="shared" si="5"/>
        <v>322.2</v>
      </c>
      <c r="N40" s="1">
        <f>_xlfn.XLOOKUP(A40,'[1]2019'!A:A,'[1]2019'!N:N,"-")</f>
        <v>374</v>
      </c>
      <c r="O40" s="2">
        <f t="shared" si="6"/>
        <v>224.4</v>
      </c>
      <c r="P40" s="1">
        <f>_xlfn.XLOOKUP(A40,'[1]2020'!A:A,'[1]2020'!N:N,"-")</f>
        <v>228</v>
      </c>
      <c r="Q40" s="2">
        <f t="shared" si="7"/>
        <v>136.79999999999998</v>
      </c>
      <c r="R40" s="1">
        <f>_xlfn.XLOOKUP(A40,'[1]2021'!A:A,'[1]2021'!N:N,"-")</f>
        <v>1</v>
      </c>
      <c r="S40" s="2">
        <f t="shared" si="8"/>
        <v>0.6</v>
      </c>
      <c r="T40" s="1">
        <v>0</v>
      </c>
      <c r="U40" s="2">
        <f t="shared" si="9"/>
        <v>0</v>
      </c>
      <c r="V40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1140</v>
      </c>
      <c r="W40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820.8</v>
      </c>
    </row>
    <row r="41" spans="1:23" x14ac:dyDescent="0.35">
      <c r="A41" s="11" t="s">
        <v>41</v>
      </c>
      <c r="B41" s="1">
        <v>0</v>
      </c>
      <c r="C41" s="2">
        <f t="shared" si="0"/>
        <v>0</v>
      </c>
      <c r="D41" s="1">
        <v>0</v>
      </c>
      <c r="E41" s="2">
        <f t="shared" si="1"/>
        <v>0</v>
      </c>
      <c r="F41" s="1">
        <v>0</v>
      </c>
      <c r="G41" s="2">
        <f t="shared" si="2"/>
        <v>0</v>
      </c>
      <c r="H41" s="1">
        <v>0</v>
      </c>
      <c r="I41" s="2">
        <f t="shared" si="3"/>
        <v>0</v>
      </c>
      <c r="J41" s="1">
        <v>0</v>
      </c>
      <c r="K41" s="2">
        <f t="shared" si="4"/>
        <v>0</v>
      </c>
      <c r="L41" s="1">
        <f>_xlfn.XLOOKUP(A41,'[1]2018'!A:A,'[1]2018'!N:N,"-")</f>
        <v>2330</v>
      </c>
      <c r="M41" s="2">
        <f t="shared" si="5"/>
        <v>1398</v>
      </c>
      <c r="N41" s="1">
        <f>_xlfn.XLOOKUP(A41,'[1]2019'!A:A,'[1]2019'!N:N,"-")</f>
        <v>9081</v>
      </c>
      <c r="O41" s="2">
        <f t="shared" si="6"/>
        <v>5448.5999999999995</v>
      </c>
      <c r="P41" s="1">
        <f>_xlfn.XLOOKUP(A41,'[1]2020'!A:A,'[1]2020'!N:N,"-")</f>
        <v>3670</v>
      </c>
      <c r="Q41" s="2">
        <f t="shared" si="7"/>
        <v>2202</v>
      </c>
      <c r="R41" s="1">
        <f>_xlfn.XLOOKUP(A41,'[1]2021'!A:A,'[1]2021'!N:N,"-")</f>
        <v>1</v>
      </c>
      <c r="S41" s="2">
        <f t="shared" si="8"/>
        <v>0.6</v>
      </c>
      <c r="T41" s="1">
        <v>0</v>
      </c>
      <c r="U41" s="2">
        <f t="shared" si="9"/>
        <v>0</v>
      </c>
      <c r="V41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15082</v>
      </c>
      <c r="W41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11251.199999999999</v>
      </c>
    </row>
    <row r="42" spans="1:23" x14ac:dyDescent="0.35">
      <c r="A42" s="11" t="s">
        <v>42</v>
      </c>
      <c r="B42" s="1">
        <v>0</v>
      </c>
      <c r="C42" s="2">
        <f t="shared" si="0"/>
        <v>0</v>
      </c>
      <c r="D42" s="1">
        <v>0</v>
      </c>
      <c r="E42" s="2">
        <f t="shared" si="1"/>
        <v>0</v>
      </c>
      <c r="F42" s="1">
        <v>0</v>
      </c>
      <c r="G42" s="2">
        <f t="shared" si="2"/>
        <v>0</v>
      </c>
      <c r="H42" s="1">
        <v>0</v>
      </c>
      <c r="I42" s="2">
        <f t="shared" si="3"/>
        <v>0</v>
      </c>
      <c r="J42" s="1">
        <v>0</v>
      </c>
      <c r="K42" s="2">
        <f t="shared" si="4"/>
        <v>0</v>
      </c>
      <c r="L42" s="1">
        <v>0</v>
      </c>
      <c r="M42" s="2">
        <f t="shared" si="5"/>
        <v>0</v>
      </c>
      <c r="N42" s="1">
        <f>_xlfn.XLOOKUP(A42,'[1]2019'!A:A,'[1]2019'!N:N,"-")</f>
        <v>3086</v>
      </c>
      <c r="O42" s="2">
        <f t="shared" si="6"/>
        <v>1851.6</v>
      </c>
      <c r="P42" s="1">
        <f>_xlfn.XLOOKUP(A42,'[1]2020'!A:A,'[1]2020'!N:N,"-")</f>
        <v>2115</v>
      </c>
      <c r="Q42" s="2">
        <f t="shared" si="7"/>
        <v>1269</v>
      </c>
      <c r="R42" s="1">
        <v>0</v>
      </c>
      <c r="S42" s="2">
        <f t="shared" si="8"/>
        <v>0</v>
      </c>
      <c r="T42" s="1">
        <v>0</v>
      </c>
      <c r="U42" s="2">
        <f t="shared" si="9"/>
        <v>0</v>
      </c>
      <c r="V42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5201</v>
      </c>
      <c r="W42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4389.6000000000004</v>
      </c>
    </row>
    <row r="43" spans="1:23" x14ac:dyDescent="0.35">
      <c r="A43" s="11" t="s">
        <v>43</v>
      </c>
      <c r="B43" s="1">
        <v>0</v>
      </c>
      <c r="C43" s="2">
        <f t="shared" si="0"/>
        <v>0</v>
      </c>
      <c r="D43" s="1">
        <v>0</v>
      </c>
      <c r="E43" s="2">
        <f t="shared" si="1"/>
        <v>0</v>
      </c>
      <c r="F43" s="1">
        <v>0</v>
      </c>
      <c r="G43" s="2">
        <f t="shared" si="2"/>
        <v>0</v>
      </c>
      <c r="H43" s="1">
        <v>0</v>
      </c>
      <c r="I43" s="2">
        <f t="shared" si="3"/>
        <v>0</v>
      </c>
      <c r="J43" s="1">
        <v>0</v>
      </c>
      <c r="K43" s="2">
        <f t="shared" si="4"/>
        <v>0</v>
      </c>
      <c r="L43" s="1">
        <v>0</v>
      </c>
      <c r="M43" s="2">
        <f t="shared" si="5"/>
        <v>0</v>
      </c>
      <c r="N43" s="1">
        <f>_xlfn.XLOOKUP(A43,'[1]2019'!A:A,'[1]2019'!N:N,"-")</f>
        <v>3910</v>
      </c>
      <c r="O43" s="2">
        <f t="shared" si="6"/>
        <v>2346</v>
      </c>
      <c r="P43" s="1">
        <f>_xlfn.XLOOKUP(A43,'[1]2020'!A:A,'[1]2020'!N:N,"-")</f>
        <v>3049</v>
      </c>
      <c r="Q43" s="2">
        <f t="shared" si="7"/>
        <v>1829.3999999999999</v>
      </c>
      <c r="R43" s="1">
        <v>0</v>
      </c>
      <c r="S43" s="2">
        <f t="shared" si="8"/>
        <v>0</v>
      </c>
      <c r="T43" s="1">
        <v>0</v>
      </c>
      <c r="U43" s="2">
        <f t="shared" si="9"/>
        <v>0</v>
      </c>
      <c r="V43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6959</v>
      </c>
      <c r="W43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6004.7999999999993</v>
      </c>
    </row>
    <row r="44" spans="1:23" x14ac:dyDescent="0.35">
      <c r="A44" s="11" t="s">
        <v>44</v>
      </c>
      <c r="B44" s="1">
        <v>0</v>
      </c>
      <c r="C44" s="2">
        <f t="shared" si="0"/>
        <v>0</v>
      </c>
      <c r="D44" s="1">
        <v>0</v>
      </c>
      <c r="E44" s="2">
        <f t="shared" si="1"/>
        <v>0</v>
      </c>
      <c r="F44" s="1">
        <v>0</v>
      </c>
      <c r="G44" s="2">
        <f t="shared" si="2"/>
        <v>0</v>
      </c>
      <c r="H44" s="1">
        <v>0</v>
      </c>
      <c r="I44" s="2">
        <f t="shared" si="3"/>
        <v>0</v>
      </c>
      <c r="J44" s="1">
        <v>0</v>
      </c>
      <c r="K44" s="2">
        <f t="shared" si="4"/>
        <v>0</v>
      </c>
      <c r="L44" s="1">
        <v>0</v>
      </c>
      <c r="M44" s="2">
        <f t="shared" si="5"/>
        <v>0</v>
      </c>
      <c r="N44" s="1">
        <f>_xlfn.XLOOKUP(A44,'[1]2019'!A:A,'[1]2019'!N:N,"-")</f>
        <v>861</v>
      </c>
      <c r="O44" s="2">
        <f t="shared" si="6"/>
        <v>516.6</v>
      </c>
      <c r="P44" s="1">
        <f>_xlfn.XLOOKUP(A44,'[1]2020'!A:A,'[1]2020'!N:N,"-")</f>
        <v>1343</v>
      </c>
      <c r="Q44" s="2">
        <f t="shared" si="7"/>
        <v>805.8</v>
      </c>
      <c r="R44" s="1">
        <f>_xlfn.XLOOKUP(A44,'[1]2021'!A:A,'[1]2021'!N:N,"-")</f>
        <v>4</v>
      </c>
      <c r="S44" s="2">
        <f t="shared" si="8"/>
        <v>2.4</v>
      </c>
      <c r="T44" s="1">
        <f>_xlfn.XLOOKUP(A44,'[1]2025'!A:A,'[1]2025'!N:N,"-")</f>
        <v>1651</v>
      </c>
      <c r="U44" s="2">
        <f t="shared" si="9"/>
        <v>1617.98</v>
      </c>
      <c r="V44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3859</v>
      </c>
      <c r="W44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3748.58</v>
      </c>
    </row>
    <row r="45" spans="1:23" x14ac:dyDescent="0.35">
      <c r="A45" s="5" t="s">
        <v>45</v>
      </c>
      <c r="B45" s="1">
        <v>0</v>
      </c>
      <c r="C45" s="2">
        <f t="shared" si="0"/>
        <v>0</v>
      </c>
      <c r="D45" s="1">
        <v>0</v>
      </c>
      <c r="E45" s="2">
        <f t="shared" si="1"/>
        <v>0</v>
      </c>
      <c r="F45" s="1">
        <v>0</v>
      </c>
      <c r="G45" s="2">
        <f t="shared" si="2"/>
        <v>0</v>
      </c>
      <c r="H45" s="1">
        <v>0</v>
      </c>
      <c r="I45" s="2">
        <f t="shared" si="3"/>
        <v>0</v>
      </c>
      <c r="J45" s="1">
        <v>0</v>
      </c>
      <c r="K45" s="2">
        <f t="shared" si="4"/>
        <v>0</v>
      </c>
      <c r="L45" s="1">
        <v>0</v>
      </c>
      <c r="M45" s="2">
        <f t="shared" si="5"/>
        <v>0</v>
      </c>
      <c r="N45" s="1">
        <f>_xlfn.XLOOKUP(A45,'[1]2019'!A:A,'[1]2019'!N:N,"-")</f>
        <v>3</v>
      </c>
      <c r="O45" s="2">
        <f t="shared" si="6"/>
        <v>1.7999999999999998</v>
      </c>
      <c r="P45" s="1">
        <f>_xlfn.XLOOKUP(A45,'[1]2020'!A:A,'[1]2020'!N:N,"-")</f>
        <v>1</v>
      </c>
      <c r="Q45" s="2">
        <f t="shared" si="7"/>
        <v>0.6</v>
      </c>
      <c r="R45" s="1">
        <f>_xlfn.XLOOKUP(A45,'[1]2021'!A:A,'[1]2021'!N:N,"-")</f>
        <v>7</v>
      </c>
      <c r="S45" s="2">
        <f t="shared" si="8"/>
        <v>4.2</v>
      </c>
      <c r="T45" s="1">
        <v>0</v>
      </c>
      <c r="U45" s="2">
        <f t="shared" si="9"/>
        <v>0</v>
      </c>
      <c r="V45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11</v>
      </c>
      <c r="W45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7.2</v>
      </c>
    </row>
    <row r="46" spans="1:23" x14ac:dyDescent="0.35">
      <c r="A46" s="5" t="s">
        <v>46</v>
      </c>
      <c r="B46" s="1">
        <v>0</v>
      </c>
      <c r="C46" s="2">
        <f t="shared" si="0"/>
        <v>0</v>
      </c>
      <c r="D46" s="1">
        <v>0</v>
      </c>
      <c r="E46" s="2">
        <f t="shared" si="1"/>
        <v>0</v>
      </c>
      <c r="F46" s="1">
        <v>0</v>
      </c>
      <c r="G46" s="2">
        <f t="shared" si="2"/>
        <v>0</v>
      </c>
      <c r="H46" s="1">
        <v>0</v>
      </c>
      <c r="I46" s="2">
        <f t="shared" si="3"/>
        <v>0</v>
      </c>
      <c r="J46" s="1">
        <v>0</v>
      </c>
      <c r="K46" s="2">
        <f t="shared" si="4"/>
        <v>0</v>
      </c>
      <c r="L46" s="1">
        <v>0</v>
      </c>
      <c r="M46" s="2">
        <f t="shared" si="5"/>
        <v>0</v>
      </c>
      <c r="N46" s="1">
        <f>_xlfn.XLOOKUP(A46,'[1]2019'!A:A,'[1]2019'!N:N,"-")</f>
        <v>220</v>
      </c>
      <c r="O46" s="2">
        <f t="shared" si="6"/>
        <v>132</v>
      </c>
      <c r="P46" s="1">
        <f>_xlfn.XLOOKUP(A46,'[1]2020'!A:A,'[1]2020'!N:N,"-")</f>
        <v>612</v>
      </c>
      <c r="Q46" s="2">
        <f t="shared" si="7"/>
        <v>367.2</v>
      </c>
      <c r="R46" s="1">
        <v>0</v>
      </c>
      <c r="S46" s="2">
        <f t="shared" si="8"/>
        <v>0</v>
      </c>
      <c r="T46" s="1">
        <v>0</v>
      </c>
      <c r="U46" s="2">
        <f t="shared" si="9"/>
        <v>0</v>
      </c>
      <c r="V46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832</v>
      </c>
      <c r="W46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866.4</v>
      </c>
    </row>
    <row r="47" spans="1:23" x14ac:dyDescent="0.35">
      <c r="A47" s="5" t="s">
        <v>47</v>
      </c>
      <c r="B47" s="1">
        <v>0</v>
      </c>
      <c r="C47" s="2">
        <f t="shared" si="0"/>
        <v>0</v>
      </c>
      <c r="D47" s="1">
        <v>0</v>
      </c>
      <c r="E47" s="2">
        <f t="shared" si="1"/>
        <v>0</v>
      </c>
      <c r="F47" s="1">
        <v>0</v>
      </c>
      <c r="G47" s="2">
        <f t="shared" si="2"/>
        <v>0</v>
      </c>
      <c r="H47" s="1">
        <v>0</v>
      </c>
      <c r="I47" s="2">
        <f t="shared" si="3"/>
        <v>0</v>
      </c>
      <c r="J47" s="1">
        <v>0</v>
      </c>
      <c r="K47" s="2">
        <f t="shared" si="4"/>
        <v>0</v>
      </c>
      <c r="L47" s="1">
        <v>0</v>
      </c>
      <c r="M47" s="2">
        <f t="shared" si="5"/>
        <v>0</v>
      </c>
      <c r="N47" s="1">
        <v>0</v>
      </c>
      <c r="O47" s="2">
        <f t="shared" si="6"/>
        <v>0</v>
      </c>
      <c r="P47" s="1">
        <f>_xlfn.XLOOKUP(A47,'[1]2020'!A:A,'[1]2020'!N:N,"-")</f>
        <v>71</v>
      </c>
      <c r="Q47" s="2">
        <f t="shared" si="7"/>
        <v>42.6</v>
      </c>
      <c r="R47" s="1">
        <f>_xlfn.XLOOKUP(A47,'[1]2021'!A:A,'[1]2021'!N:N,"-")</f>
        <v>1</v>
      </c>
      <c r="S47" s="2">
        <f t="shared" si="8"/>
        <v>0.6</v>
      </c>
      <c r="T47" s="1">
        <v>0</v>
      </c>
      <c r="U47" s="2">
        <f t="shared" si="9"/>
        <v>0</v>
      </c>
      <c r="V47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72</v>
      </c>
      <c r="W47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85.8</v>
      </c>
    </row>
    <row r="48" spans="1:23" x14ac:dyDescent="0.35">
      <c r="A48" s="11" t="s">
        <v>48</v>
      </c>
      <c r="B48" s="1">
        <v>0</v>
      </c>
      <c r="C48" s="2">
        <f t="shared" si="0"/>
        <v>0</v>
      </c>
      <c r="D48" s="1">
        <v>0</v>
      </c>
      <c r="E48" s="2">
        <f t="shared" si="1"/>
        <v>0</v>
      </c>
      <c r="F48" s="1">
        <v>0</v>
      </c>
      <c r="G48" s="2">
        <f t="shared" si="2"/>
        <v>0</v>
      </c>
      <c r="H48" s="1">
        <v>0</v>
      </c>
      <c r="I48" s="2">
        <f t="shared" si="3"/>
        <v>0</v>
      </c>
      <c r="J48" s="1">
        <v>0</v>
      </c>
      <c r="K48" s="2">
        <f t="shared" si="4"/>
        <v>0</v>
      </c>
      <c r="L48" s="1">
        <v>0</v>
      </c>
      <c r="M48" s="2">
        <f t="shared" si="5"/>
        <v>0</v>
      </c>
      <c r="N48" s="1">
        <v>0</v>
      </c>
      <c r="O48" s="2">
        <f t="shared" si="6"/>
        <v>0</v>
      </c>
      <c r="P48" s="1">
        <f>_xlfn.XLOOKUP(A48,'[1]2020'!A:A,'[1]2020'!N:N,"-")</f>
        <v>54</v>
      </c>
      <c r="Q48" s="2">
        <f t="shared" si="7"/>
        <v>32.4</v>
      </c>
      <c r="R48" s="1">
        <f>_xlfn.XLOOKUP(A48,'[1]2021'!A:A,'[1]2021'!N:N,"-")</f>
        <v>2</v>
      </c>
      <c r="S48" s="2">
        <f t="shared" si="8"/>
        <v>1.2</v>
      </c>
      <c r="T48" s="1">
        <v>0</v>
      </c>
      <c r="U48" s="2">
        <f t="shared" si="9"/>
        <v>0</v>
      </c>
      <c r="V48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56</v>
      </c>
      <c r="W48" s="8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66</v>
      </c>
    </row>
    <row r="49" spans="1:23" x14ac:dyDescent="0.35">
      <c r="A49" s="11" t="s">
        <v>49</v>
      </c>
      <c r="B49" s="1">
        <v>0</v>
      </c>
      <c r="C49" s="2">
        <f t="shared" si="0"/>
        <v>0</v>
      </c>
      <c r="D49" s="1">
        <v>0</v>
      </c>
      <c r="E49" s="2">
        <f t="shared" si="1"/>
        <v>0</v>
      </c>
      <c r="F49" s="1">
        <v>0</v>
      </c>
      <c r="G49" s="2">
        <f t="shared" si="2"/>
        <v>0</v>
      </c>
      <c r="H49" s="1">
        <v>0</v>
      </c>
      <c r="I49" s="2">
        <f t="shared" si="3"/>
        <v>0</v>
      </c>
      <c r="J49" s="1">
        <v>0</v>
      </c>
      <c r="K49" s="2">
        <f t="shared" si="4"/>
        <v>0</v>
      </c>
      <c r="L49" s="1">
        <v>0</v>
      </c>
      <c r="M49" s="2">
        <f t="shared" si="5"/>
        <v>0</v>
      </c>
      <c r="N49" s="1">
        <v>0</v>
      </c>
      <c r="O49" s="2">
        <f t="shared" si="6"/>
        <v>0</v>
      </c>
      <c r="P49" s="1">
        <f>_xlfn.XLOOKUP(A49,'[1]2020'!A:A,'[1]2020'!N:N,"-")</f>
        <v>17</v>
      </c>
      <c r="Q49" s="2">
        <f t="shared" si="7"/>
        <v>10.199999999999999</v>
      </c>
      <c r="R49" s="1">
        <v>0</v>
      </c>
      <c r="S49" s="2">
        <f t="shared" si="8"/>
        <v>0</v>
      </c>
      <c r="T49" s="1">
        <v>0</v>
      </c>
      <c r="U49" s="2">
        <f t="shared" si="9"/>
        <v>0</v>
      </c>
      <c r="V49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17</v>
      </c>
      <c r="W49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20.399999999999999</v>
      </c>
    </row>
    <row r="50" spans="1:23" x14ac:dyDescent="0.35">
      <c r="A50" s="5" t="s">
        <v>50</v>
      </c>
      <c r="B50" s="1">
        <v>0</v>
      </c>
      <c r="C50" s="2">
        <f t="shared" si="0"/>
        <v>0</v>
      </c>
      <c r="D50" s="1">
        <v>0</v>
      </c>
      <c r="E50" s="2">
        <f t="shared" si="1"/>
        <v>0</v>
      </c>
      <c r="F50" s="1">
        <v>0</v>
      </c>
      <c r="G50" s="2">
        <f t="shared" si="2"/>
        <v>0</v>
      </c>
      <c r="H50" s="1">
        <v>0</v>
      </c>
      <c r="I50" s="2">
        <f t="shared" si="3"/>
        <v>0</v>
      </c>
      <c r="J50" s="1">
        <v>0</v>
      </c>
      <c r="K50" s="2">
        <f t="shared" si="4"/>
        <v>0</v>
      </c>
      <c r="L50" s="1">
        <v>0</v>
      </c>
      <c r="M50" s="2">
        <f t="shared" si="5"/>
        <v>0</v>
      </c>
      <c r="N50" s="1">
        <v>0</v>
      </c>
      <c r="O50" s="2">
        <f t="shared" si="6"/>
        <v>0</v>
      </c>
      <c r="P50" s="1">
        <v>0</v>
      </c>
      <c r="Q50" s="2">
        <f t="shared" si="7"/>
        <v>0</v>
      </c>
      <c r="R50" s="1">
        <f>_xlfn.XLOOKUP(A50,'[1]2021'!A:A,'[1]2021'!N:N,"-")</f>
        <v>1</v>
      </c>
      <c r="S50" s="2">
        <f t="shared" si="8"/>
        <v>0.6</v>
      </c>
      <c r="T50" s="1">
        <v>0</v>
      </c>
      <c r="U50" s="2">
        <f t="shared" si="9"/>
        <v>0</v>
      </c>
      <c r="V50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1</v>
      </c>
      <c r="W50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0.6</v>
      </c>
    </row>
    <row r="51" spans="1:23" x14ac:dyDescent="0.35">
      <c r="A51" s="11" t="s">
        <v>51</v>
      </c>
      <c r="B51" s="1">
        <v>0</v>
      </c>
      <c r="C51" s="2">
        <f t="shared" si="0"/>
        <v>0</v>
      </c>
      <c r="D51" s="1">
        <v>0</v>
      </c>
      <c r="E51" s="2">
        <f t="shared" si="1"/>
        <v>0</v>
      </c>
      <c r="F51" s="1">
        <v>0</v>
      </c>
      <c r="G51" s="2">
        <f t="shared" si="2"/>
        <v>0</v>
      </c>
      <c r="H51" s="1">
        <v>0</v>
      </c>
      <c r="I51" s="2">
        <f t="shared" si="3"/>
        <v>0</v>
      </c>
      <c r="J51" s="1">
        <v>0</v>
      </c>
      <c r="K51" s="2">
        <f t="shared" si="4"/>
        <v>0</v>
      </c>
      <c r="L51" s="1">
        <v>0</v>
      </c>
      <c r="M51" s="2">
        <f t="shared" si="5"/>
        <v>0</v>
      </c>
      <c r="N51" s="1">
        <v>0</v>
      </c>
      <c r="O51" s="2">
        <f t="shared" si="6"/>
        <v>0</v>
      </c>
      <c r="P51" s="1">
        <v>0</v>
      </c>
      <c r="Q51" s="2">
        <f t="shared" si="7"/>
        <v>0</v>
      </c>
      <c r="R51" s="1">
        <v>0</v>
      </c>
      <c r="S51" s="2">
        <f t="shared" si="8"/>
        <v>0</v>
      </c>
      <c r="T51" s="1">
        <f>_xlfn.XLOOKUP(A51,'[1]2025'!A:A,'[1]2025'!N:N,"-")</f>
        <v>4922</v>
      </c>
      <c r="U51" s="2">
        <f t="shared" si="9"/>
        <v>4823.5599999999995</v>
      </c>
      <c r="V51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4922</v>
      </c>
      <c r="W51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4823.5599999999995</v>
      </c>
    </row>
    <row r="52" spans="1:23" x14ac:dyDescent="0.35">
      <c r="A52" s="11" t="s">
        <v>52</v>
      </c>
      <c r="B52" s="1">
        <v>0</v>
      </c>
      <c r="C52" s="2">
        <f t="shared" si="0"/>
        <v>0</v>
      </c>
      <c r="D52" s="1">
        <v>0</v>
      </c>
      <c r="E52" s="2">
        <f t="shared" si="1"/>
        <v>0</v>
      </c>
      <c r="F52" s="1">
        <v>0</v>
      </c>
      <c r="G52" s="2">
        <f t="shared" si="2"/>
        <v>0</v>
      </c>
      <c r="H52" s="1">
        <v>0</v>
      </c>
      <c r="I52" s="2">
        <f t="shared" si="3"/>
        <v>0</v>
      </c>
      <c r="J52" s="1">
        <v>0</v>
      </c>
      <c r="K52" s="2">
        <f t="shared" si="4"/>
        <v>0</v>
      </c>
      <c r="L52" s="1">
        <v>0</v>
      </c>
      <c r="M52" s="2">
        <f t="shared" si="5"/>
        <v>0</v>
      </c>
      <c r="N52" s="1">
        <v>0</v>
      </c>
      <c r="O52" s="2">
        <f t="shared" si="6"/>
        <v>0</v>
      </c>
      <c r="P52" s="1">
        <v>0</v>
      </c>
      <c r="Q52" s="2">
        <f t="shared" si="7"/>
        <v>0</v>
      </c>
      <c r="R52" s="1">
        <v>0</v>
      </c>
      <c r="S52" s="2">
        <f t="shared" si="8"/>
        <v>0</v>
      </c>
      <c r="T52" s="1">
        <f>_xlfn.XLOOKUP(A52,'[1]2025'!A:A,'[1]2025'!N:N,"-")</f>
        <v>4073</v>
      </c>
      <c r="U52" s="2">
        <f t="shared" si="9"/>
        <v>3991.54</v>
      </c>
      <c r="V52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4073</v>
      </c>
      <c r="W52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3991.54</v>
      </c>
    </row>
    <row r="53" spans="1:23" x14ac:dyDescent="0.35">
      <c r="A53" s="11" t="s">
        <v>53</v>
      </c>
      <c r="B53" s="1">
        <v>0</v>
      </c>
      <c r="C53" s="2">
        <f t="shared" si="0"/>
        <v>0</v>
      </c>
      <c r="D53" s="1">
        <v>0</v>
      </c>
      <c r="E53" s="2">
        <f t="shared" si="1"/>
        <v>0</v>
      </c>
      <c r="F53" s="1">
        <v>0</v>
      </c>
      <c r="G53" s="2">
        <f t="shared" si="2"/>
        <v>0</v>
      </c>
      <c r="H53" s="1">
        <v>0</v>
      </c>
      <c r="I53" s="2">
        <f t="shared" si="3"/>
        <v>0</v>
      </c>
      <c r="J53" s="1">
        <v>0</v>
      </c>
      <c r="K53" s="2">
        <f t="shared" si="4"/>
        <v>0</v>
      </c>
      <c r="L53" s="1">
        <v>0</v>
      </c>
      <c r="M53" s="2">
        <f t="shared" si="5"/>
        <v>0</v>
      </c>
      <c r="N53" s="1">
        <v>0</v>
      </c>
      <c r="O53" s="2">
        <f t="shared" si="6"/>
        <v>0</v>
      </c>
      <c r="P53" s="1">
        <v>0</v>
      </c>
      <c r="Q53" s="2">
        <f t="shared" si="7"/>
        <v>0</v>
      </c>
      <c r="R53" s="1">
        <v>0</v>
      </c>
      <c r="S53" s="2">
        <f t="shared" si="8"/>
        <v>0</v>
      </c>
      <c r="T53" s="1">
        <f>_xlfn.XLOOKUP(A53,'[1]2025'!A:A,'[1]2025'!N:N,"-")</f>
        <v>745</v>
      </c>
      <c r="U53" s="2">
        <f t="shared" si="9"/>
        <v>730.1</v>
      </c>
      <c r="V53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745</v>
      </c>
      <c r="W53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730.1</v>
      </c>
    </row>
    <row r="54" spans="1:23" x14ac:dyDescent="0.35">
      <c r="A54" s="11" t="s">
        <v>54</v>
      </c>
      <c r="B54" s="1">
        <v>0</v>
      </c>
      <c r="C54" s="2">
        <f t="shared" si="0"/>
        <v>0</v>
      </c>
      <c r="D54" s="1">
        <v>0</v>
      </c>
      <c r="E54" s="2">
        <f t="shared" si="1"/>
        <v>0</v>
      </c>
      <c r="F54" s="1">
        <v>0</v>
      </c>
      <c r="G54" s="2">
        <f t="shared" si="2"/>
        <v>0</v>
      </c>
      <c r="H54" s="1">
        <v>0</v>
      </c>
      <c r="I54" s="2">
        <f t="shared" si="3"/>
        <v>0</v>
      </c>
      <c r="J54" s="1">
        <v>0</v>
      </c>
      <c r="K54" s="2">
        <f t="shared" si="4"/>
        <v>0</v>
      </c>
      <c r="L54" s="1">
        <v>0</v>
      </c>
      <c r="M54" s="2">
        <f t="shared" si="5"/>
        <v>0</v>
      </c>
      <c r="N54" s="1">
        <v>0</v>
      </c>
      <c r="O54" s="2">
        <f t="shared" si="6"/>
        <v>0</v>
      </c>
      <c r="P54" s="1">
        <v>0</v>
      </c>
      <c r="Q54" s="2">
        <f t="shared" si="7"/>
        <v>0</v>
      </c>
      <c r="R54" s="1">
        <v>0</v>
      </c>
      <c r="S54" s="2">
        <f t="shared" si="8"/>
        <v>0</v>
      </c>
      <c r="T54" s="1">
        <f>_xlfn.XLOOKUP(A54,'[1]2025'!A:A,'[1]2025'!N:N,"-")</f>
        <v>3434</v>
      </c>
      <c r="U54" s="2">
        <f t="shared" si="9"/>
        <v>3365.32</v>
      </c>
      <c r="V54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3434</v>
      </c>
      <c r="W54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3365.32</v>
      </c>
    </row>
    <row r="55" spans="1:23" x14ac:dyDescent="0.35">
      <c r="A55" s="11" t="s">
        <v>55</v>
      </c>
      <c r="B55" s="1">
        <v>0</v>
      </c>
      <c r="C55" s="2">
        <f t="shared" si="0"/>
        <v>0</v>
      </c>
      <c r="D55" s="1">
        <v>0</v>
      </c>
      <c r="E55" s="2">
        <f t="shared" si="1"/>
        <v>0</v>
      </c>
      <c r="F55" s="1">
        <v>0</v>
      </c>
      <c r="G55" s="2">
        <f t="shared" si="2"/>
        <v>0</v>
      </c>
      <c r="H55" s="1">
        <v>0</v>
      </c>
      <c r="I55" s="2">
        <f t="shared" si="3"/>
        <v>0</v>
      </c>
      <c r="J55" s="1">
        <v>0</v>
      </c>
      <c r="K55" s="2">
        <f t="shared" si="4"/>
        <v>0</v>
      </c>
      <c r="L55" s="1">
        <v>0</v>
      </c>
      <c r="M55" s="2">
        <f t="shared" si="5"/>
        <v>0</v>
      </c>
      <c r="N55" s="1">
        <v>0</v>
      </c>
      <c r="O55" s="2">
        <f t="shared" si="6"/>
        <v>0</v>
      </c>
      <c r="P55" s="1">
        <v>0</v>
      </c>
      <c r="Q55" s="2">
        <f t="shared" si="7"/>
        <v>0</v>
      </c>
      <c r="R55" s="1">
        <v>0</v>
      </c>
      <c r="S55" s="2">
        <f t="shared" si="8"/>
        <v>0</v>
      </c>
      <c r="T55" s="1">
        <f>_xlfn.XLOOKUP(A55,'[1]2025'!A:A,'[1]2025'!N:N,"-")</f>
        <v>2325</v>
      </c>
      <c r="U55" s="2">
        <f t="shared" si="9"/>
        <v>2278.5</v>
      </c>
      <c r="V55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2325</v>
      </c>
      <c r="W55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2278.5</v>
      </c>
    </row>
    <row r="56" spans="1:23" x14ac:dyDescent="0.35">
      <c r="A56" s="11" t="s">
        <v>56</v>
      </c>
      <c r="B56" s="1">
        <v>0</v>
      </c>
      <c r="C56" s="2">
        <f t="shared" si="0"/>
        <v>0</v>
      </c>
      <c r="D56" s="1">
        <v>0</v>
      </c>
      <c r="E56" s="2">
        <f t="shared" si="1"/>
        <v>0</v>
      </c>
      <c r="F56" s="1">
        <v>0</v>
      </c>
      <c r="G56" s="2">
        <f t="shared" si="2"/>
        <v>0</v>
      </c>
      <c r="H56" s="1">
        <v>0</v>
      </c>
      <c r="I56" s="2">
        <f t="shared" si="3"/>
        <v>0</v>
      </c>
      <c r="J56" s="1">
        <v>0</v>
      </c>
      <c r="K56" s="2">
        <f t="shared" si="4"/>
        <v>0</v>
      </c>
      <c r="L56" s="1">
        <v>0</v>
      </c>
      <c r="M56" s="2">
        <f t="shared" si="5"/>
        <v>0</v>
      </c>
      <c r="N56" s="1">
        <v>0</v>
      </c>
      <c r="O56" s="2">
        <f t="shared" si="6"/>
        <v>0</v>
      </c>
      <c r="P56" s="1">
        <v>0</v>
      </c>
      <c r="Q56" s="2">
        <f t="shared" si="7"/>
        <v>0</v>
      </c>
      <c r="R56" s="1">
        <v>0</v>
      </c>
      <c r="S56" s="2">
        <f t="shared" si="8"/>
        <v>0</v>
      </c>
      <c r="T56" s="1">
        <f>_xlfn.XLOOKUP(A56,'[1]2025'!A:A,'[1]2025'!N:N,"-")</f>
        <v>2780</v>
      </c>
      <c r="U56" s="2">
        <f t="shared" si="9"/>
        <v>2724.4</v>
      </c>
      <c r="V56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2780</v>
      </c>
      <c r="W56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2724.4</v>
      </c>
    </row>
    <row r="57" spans="1:23" x14ac:dyDescent="0.35">
      <c r="A57" s="11" t="s">
        <v>57</v>
      </c>
      <c r="B57" s="1">
        <v>0</v>
      </c>
      <c r="C57" s="2">
        <f t="shared" si="0"/>
        <v>0</v>
      </c>
      <c r="D57" s="1">
        <v>0</v>
      </c>
      <c r="E57" s="2">
        <f t="shared" si="1"/>
        <v>0</v>
      </c>
      <c r="F57" s="1">
        <v>0</v>
      </c>
      <c r="G57" s="2">
        <f t="shared" si="2"/>
        <v>0</v>
      </c>
      <c r="H57" s="1">
        <v>0</v>
      </c>
      <c r="I57" s="2">
        <f t="shared" si="3"/>
        <v>0</v>
      </c>
      <c r="J57" s="1">
        <v>0</v>
      </c>
      <c r="K57" s="2">
        <f t="shared" si="4"/>
        <v>0</v>
      </c>
      <c r="L57" s="1">
        <v>0</v>
      </c>
      <c r="M57" s="2">
        <f t="shared" si="5"/>
        <v>0</v>
      </c>
      <c r="N57" s="1">
        <v>0</v>
      </c>
      <c r="O57" s="2">
        <f t="shared" si="6"/>
        <v>0</v>
      </c>
      <c r="P57" s="1">
        <v>0</v>
      </c>
      <c r="Q57" s="2">
        <f t="shared" si="7"/>
        <v>0</v>
      </c>
      <c r="R57" s="1">
        <v>0</v>
      </c>
      <c r="S57" s="2">
        <f t="shared" si="8"/>
        <v>0</v>
      </c>
      <c r="T57" s="1">
        <f>_xlfn.XLOOKUP(A57,'[1]2025'!A:A,'[1]2025'!N:N,"-")</f>
        <v>1305</v>
      </c>
      <c r="U57" s="2">
        <f t="shared" si="9"/>
        <v>1278.8999999999999</v>
      </c>
      <c r="V57" s="10">
        <f>Table13[[#This Row],[2013]]+Table13[[#This Row],[2014]]+Table13[[#This Row],[2015]]+Table13[[#This Row],[2016]]+Table13[[#This Row],[2017]]+Table13[[#This Row],[2018]]+Table13[[#This Row],[2019]]+Table13[[#This Row],[2020]]+Table13[[#This Row],[2021]]+Table13[[#This Row],[2025]]</f>
        <v>1305</v>
      </c>
      <c r="W57" s="7">
        <f>Table13[[#This Row],[2013(20%)]]+Table13[[#This Row],[2014(30%)]]+Table13[[#This Row],[2015(30%)]]+Table13[[#This Row],[2016(60%)]]+Table13[[#This Row],[2017(60%)]]+Table13[[#This Row],[2018(60%)]]+Table13[[#This Row],[2019(60%)]]+Table13[[#This Row],[2020(60%)]]+Table13[[#This Row],[2020(60%)]]+Table13[[#This Row],[2021(60%)]]+Table13[[#This Row],[2025(2%)]]</f>
        <v>1278.8999999999999</v>
      </c>
    </row>
  </sheetData>
  <conditionalFormatting sqref="A2:A50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72D4F-0C19-4AAF-B09D-90B060975036}">
  <dimension ref="A1"/>
  <sheetViews>
    <sheetView workbookViewId="0">
      <selection activeCell="F15" sqref="F15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Saminda Madhusanka</dc:creator>
  <cp:lastModifiedBy>Saminda Madhusanka</cp:lastModifiedBy>
  <dcterms:created xsi:type="dcterms:W3CDTF">2026-03-17T09:07:26Z</dcterms:created>
  <dcterms:modified xsi:type="dcterms:W3CDTF">2026-04-17T03:38:18Z</dcterms:modified>
</cp:coreProperties>
</file>