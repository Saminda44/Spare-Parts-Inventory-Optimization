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indam\Desktop\"/>
    </mc:Choice>
  </mc:AlternateContent>
  <xr:revisionPtr revIDLastSave="0" documentId="13_ncr:1_{1E98559B-9254-45EF-8E32-E70F12B38C0B}" xr6:coauthVersionLast="47" xr6:coauthVersionMax="47" xr10:uidLastSave="{00000000-0000-0000-0000-000000000000}"/>
  <bookViews>
    <workbookView xWindow="-110" yWindow="-110" windowWidth="19420" windowHeight="10300" xr2:uid="{B795D99C-A945-4A71-B4BB-D0952EE97AC9}"/>
  </bookViews>
  <sheets>
    <sheet name="UIO" sheetId="14" r:id="rId1"/>
    <sheet name="SU" sheetId="13" r:id="rId2"/>
    <sheet name="2026" sheetId="12" r:id="rId3"/>
    <sheet name="2025" sheetId="11" r:id="rId4"/>
    <sheet name="2021" sheetId="10" r:id="rId5"/>
    <sheet name="2020" sheetId="9" r:id="rId6"/>
    <sheet name="2019" sheetId="8" r:id="rId7"/>
    <sheet name="2018" sheetId="7" r:id="rId8"/>
    <sheet name="2017" sheetId="6" r:id="rId9"/>
    <sheet name="2016" sheetId="5" r:id="rId10"/>
    <sheet name="2015" sheetId="4" r:id="rId11"/>
    <sheet name="2014" sheetId="3" r:id="rId12"/>
    <sheet name="2013" sheetId="2" r:id="rId13"/>
  </sheets>
  <definedNames>
    <definedName name="_xlnm._FilterDatabase" localSheetId="1" hidden="1">SU!$M$1:$M$57</definedName>
    <definedName name="_xlnm._FilterDatabase" localSheetId="0" hidden="1">UIO!$A$1:$M$57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5" i="14" l="1"/>
  <c r="M11" i="14"/>
  <c r="M3" i="14"/>
  <c r="M4" i="14"/>
  <c r="M5" i="14"/>
  <c r="M6" i="14"/>
  <c r="M7" i="14"/>
  <c r="M8" i="14"/>
  <c r="M9" i="14"/>
  <c r="M10" i="14"/>
  <c r="M12" i="14"/>
  <c r="M13" i="14"/>
  <c r="M14" i="14"/>
  <c r="M16" i="14"/>
  <c r="M17" i="14"/>
  <c r="M18" i="14"/>
  <c r="M19" i="14"/>
  <c r="M20" i="14"/>
  <c r="M21" i="14"/>
  <c r="M22" i="14"/>
  <c r="M23" i="14"/>
  <c r="M24" i="14"/>
  <c r="M25" i="14"/>
  <c r="M26" i="14"/>
  <c r="M27" i="14"/>
  <c r="M28" i="14"/>
  <c r="M29" i="14"/>
  <c r="M30" i="14"/>
  <c r="M31" i="14"/>
  <c r="M32" i="14"/>
  <c r="M33" i="14"/>
  <c r="M34" i="14"/>
  <c r="M35" i="14"/>
  <c r="M36" i="14"/>
  <c r="M37" i="14"/>
  <c r="M38" i="14"/>
  <c r="M39" i="14"/>
  <c r="M40" i="14"/>
  <c r="M41" i="14"/>
  <c r="M42" i="14"/>
  <c r="M43" i="14"/>
  <c r="M44" i="14"/>
  <c r="M45" i="14"/>
  <c r="M46" i="14"/>
  <c r="M47" i="14"/>
  <c r="M48" i="14"/>
  <c r="M49" i="14"/>
  <c r="M50" i="14"/>
  <c r="M51" i="14"/>
  <c r="M52" i="14"/>
  <c r="M53" i="14"/>
  <c r="M54" i="14"/>
  <c r="M55" i="14"/>
  <c r="M56" i="14"/>
  <c r="M57" i="14"/>
  <c r="M2" i="14"/>
  <c r="H3" i="13"/>
  <c r="H4" i="13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N14" i="8"/>
  <c r="F3" i="13"/>
  <c r="F4" i="13"/>
  <c r="F5" i="13"/>
  <c r="F6" i="13"/>
  <c r="F7" i="13"/>
  <c r="F8" i="13"/>
  <c r="F9" i="13"/>
  <c r="F10" i="13"/>
  <c r="F11" i="13"/>
  <c r="F12" i="13"/>
  <c r="F13" i="13"/>
  <c r="F14" i="13"/>
  <c r="F15" i="13"/>
  <c r="F16" i="13"/>
  <c r="F17" i="13"/>
  <c r="F18" i="13"/>
  <c r="F19" i="13"/>
  <c r="F20" i="13"/>
  <c r="F21" i="13"/>
  <c r="F22" i="13"/>
  <c r="F23" i="13"/>
  <c r="F24" i="13"/>
  <c r="F25" i="13"/>
  <c r="F26" i="13"/>
  <c r="F27" i="13"/>
  <c r="F28" i="13"/>
  <c r="F29" i="13"/>
  <c r="F30" i="13"/>
  <c r="F31" i="13"/>
  <c r="F32" i="13"/>
  <c r="F33" i="13"/>
  <c r="F34" i="13"/>
  <c r="F35" i="13"/>
  <c r="F36" i="13"/>
  <c r="F37" i="13"/>
  <c r="F38" i="13"/>
  <c r="F39" i="13"/>
  <c r="F40" i="13"/>
  <c r="F41" i="13"/>
  <c r="F42" i="13"/>
  <c r="F43" i="13"/>
  <c r="F44" i="13"/>
  <c r="F45" i="13"/>
  <c r="F46" i="13"/>
  <c r="F47" i="13"/>
  <c r="F48" i="13"/>
  <c r="F49" i="13"/>
  <c r="F50" i="13"/>
  <c r="F51" i="13"/>
  <c r="F52" i="13"/>
  <c r="F53" i="13"/>
  <c r="F54" i="13"/>
  <c r="F55" i="13"/>
  <c r="F56" i="13"/>
  <c r="F57" i="13"/>
  <c r="N12" i="6"/>
  <c r="N7" i="6"/>
  <c r="B3" i="13"/>
  <c r="B4" i="13"/>
  <c r="B5" i="13"/>
  <c r="B6" i="13"/>
  <c r="B7" i="13"/>
  <c r="B8" i="13"/>
  <c r="B9" i="13"/>
  <c r="B10" i="13"/>
  <c r="B11" i="13"/>
  <c r="B12" i="13"/>
  <c r="B13" i="13"/>
  <c r="B14" i="13"/>
  <c r="B15" i="13"/>
  <c r="B16" i="13"/>
  <c r="B17" i="13"/>
  <c r="B18" i="13"/>
  <c r="B19" i="13"/>
  <c r="B20" i="13"/>
  <c r="B21" i="13"/>
  <c r="B22" i="13"/>
  <c r="B23" i="13"/>
  <c r="B24" i="13"/>
  <c r="B25" i="13"/>
  <c r="B26" i="13"/>
  <c r="B27" i="13"/>
  <c r="B28" i="13"/>
  <c r="B29" i="13"/>
  <c r="B30" i="13"/>
  <c r="B31" i="13"/>
  <c r="B32" i="13"/>
  <c r="B33" i="13"/>
  <c r="B34" i="13"/>
  <c r="B35" i="13"/>
  <c r="B36" i="13"/>
  <c r="B37" i="13"/>
  <c r="B38" i="13"/>
  <c r="B39" i="13"/>
  <c r="B40" i="13"/>
  <c r="B41" i="13"/>
  <c r="B42" i="13"/>
  <c r="B43" i="13"/>
  <c r="B44" i="13"/>
  <c r="B45" i="13"/>
  <c r="B46" i="13"/>
  <c r="B47" i="13"/>
  <c r="B48" i="13"/>
  <c r="B49" i="13"/>
  <c r="B50" i="13"/>
  <c r="B51" i="13"/>
  <c r="B52" i="13"/>
  <c r="B53" i="13"/>
  <c r="B54" i="13"/>
  <c r="B55" i="13"/>
  <c r="B56" i="13"/>
  <c r="B57" i="13"/>
  <c r="L3" i="13"/>
  <c r="L4" i="13"/>
  <c r="L5" i="13"/>
  <c r="L6" i="13"/>
  <c r="L7" i="13"/>
  <c r="L8" i="13"/>
  <c r="L9" i="13"/>
  <c r="L10" i="13"/>
  <c r="L11" i="13"/>
  <c r="L12" i="13"/>
  <c r="L13" i="13"/>
  <c r="L14" i="13"/>
  <c r="L15" i="13"/>
  <c r="L16" i="13"/>
  <c r="L17" i="13"/>
  <c r="L18" i="13"/>
  <c r="L19" i="13"/>
  <c r="L20" i="13"/>
  <c r="L21" i="13"/>
  <c r="L22" i="13"/>
  <c r="L23" i="13"/>
  <c r="L24" i="13"/>
  <c r="L25" i="13"/>
  <c r="L26" i="13"/>
  <c r="L27" i="13"/>
  <c r="L28" i="13"/>
  <c r="L29" i="13"/>
  <c r="L30" i="13"/>
  <c r="L31" i="13"/>
  <c r="L32" i="13"/>
  <c r="L33" i="13"/>
  <c r="L34" i="13"/>
  <c r="L35" i="13"/>
  <c r="L36" i="13"/>
  <c r="L37" i="13"/>
  <c r="L38" i="13"/>
  <c r="L39" i="13"/>
  <c r="L40" i="13"/>
  <c r="L41" i="13"/>
  <c r="L42" i="13"/>
  <c r="L43" i="13"/>
  <c r="L44" i="13"/>
  <c r="L45" i="13"/>
  <c r="L46" i="13"/>
  <c r="L47" i="13"/>
  <c r="L48" i="13"/>
  <c r="L49" i="13"/>
  <c r="L50" i="13"/>
  <c r="L51" i="13"/>
  <c r="L52" i="13"/>
  <c r="L53" i="13"/>
  <c r="L54" i="13"/>
  <c r="L55" i="13"/>
  <c r="L56" i="13"/>
  <c r="L57" i="13"/>
  <c r="K3" i="13"/>
  <c r="K4" i="13"/>
  <c r="K5" i="13"/>
  <c r="K6" i="13"/>
  <c r="K7" i="13"/>
  <c r="K8" i="13"/>
  <c r="K9" i="13"/>
  <c r="K10" i="13"/>
  <c r="K11" i="13"/>
  <c r="K12" i="13"/>
  <c r="K13" i="13"/>
  <c r="K14" i="13"/>
  <c r="K15" i="13"/>
  <c r="K16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K31" i="13"/>
  <c r="K32" i="13"/>
  <c r="K33" i="13"/>
  <c r="K34" i="13"/>
  <c r="K35" i="13"/>
  <c r="K36" i="13"/>
  <c r="K37" i="13"/>
  <c r="K38" i="13"/>
  <c r="K39" i="13"/>
  <c r="K40" i="13"/>
  <c r="K41" i="13"/>
  <c r="K42" i="13"/>
  <c r="K43" i="13"/>
  <c r="K44" i="13"/>
  <c r="K45" i="13"/>
  <c r="K46" i="13"/>
  <c r="K47" i="13"/>
  <c r="K48" i="13"/>
  <c r="K49" i="13"/>
  <c r="K50" i="13"/>
  <c r="K51" i="13"/>
  <c r="K52" i="13"/>
  <c r="K53" i="13"/>
  <c r="K54" i="13"/>
  <c r="K55" i="13"/>
  <c r="K56" i="13"/>
  <c r="K57" i="13"/>
  <c r="L2" i="13"/>
  <c r="K2" i="13"/>
  <c r="J3" i="13"/>
  <c r="J4" i="13"/>
  <c r="J5" i="13"/>
  <c r="J6" i="13"/>
  <c r="J7" i="13"/>
  <c r="J8" i="13"/>
  <c r="J9" i="13"/>
  <c r="J10" i="13"/>
  <c r="J11" i="13"/>
  <c r="J12" i="13"/>
  <c r="J13" i="13"/>
  <c r="J14" i="13"/>
  <c r="J15" i="13"/>
  <c r="J16" i="13"/>
  <c r="J17" i="13"/>
  <c r="J18" i="13"/>
  <c r="J19" i="13"/>
  <c r="J20" i="13"/>
  <c r="J21" i="13"/>
  <c r="J22" i="13"/>
  <c r="J23" i="13"/>
  <c r="J24" i="13"/>
  <c r="J25" i="13"/>
  <c r="J26" i="13"/>
  <c r="J27" i="13"/>
  <c r="J28" i="13"/>
  <c r="J29" i="13"/>
  <c r="J30" i="13"/>
  <c r="J31" i="13"/>
  <c r="J32" i="13"/>
  <c r="J33" i="13"/>
  <c r="J34" i="13"/>
  <c r="J35" i="13"/>
  <c r="J36" i="13"/>
  <c r="J37" i="13"/>
  <c r="J38" i="13"/>
  <c r="J39" i="13"/>
  <c r="J40" i="13"/>
  <c r="J41" i="13"/>
  <c r="J42" i="13"/>
  <c r="J43" i="13"/>
  <c r="J44" i="13"/>
  <c r="J45" i="13"/>
  <c r="J46" i="13"/>
  <c r="J47" i="13"/>
  <c r="J48" i="13"/>
  <c r="J49" i="13"/>
  <c r="J50" i="13"/>
  <c r="J51" i="13"/>
  <c r="J52" i="13"/>
  <c r="J53" i="13"/>
  <c r="J54" i="13"/>
  <c r="J55" i="13"/>
  <c r="J56" i="13"/>
  <c r="J57" i="13"/>
  <c r="J2" i="13"/>
  <c r="I3" i="13"/>
  <c r="I4" i="13"/>
  <c r="I5" i="13"/>
  <c r="I6" i="13"/>
  <c r="I7" i="13"/>
  <c r="I8" i="13"/>
  <c r="I9" i="13"/>
  <c r="I10" i="13"/>
  <c r="I11" i="13"/>
  <c r="I12" i="13"/>
  <c r="I13" i="13"/>
  <c r="I14" i="13"/>
  <c r="I15" i="13"/>
  <c r="I16" i="13"/>
  <c r="I17" i="13"/>
  <c r="I18" i="13"/>
  <c r="I19" i="13"/>
  <c r="I20" i="13"/>
  <c r="I21" i="13"/>
  <c r="I22" i="13"/>
  <c r="I23" i="13"/>
  <c r="I24" i="13"/>
  <c r="I25" i="13"/>
  <c r="I26" i="13"/>
  <c r="I27" i="13"/>
  <c r="I28" i="13"/>
  <c r="I29" i="13"/>
  <c r="I30" i="13"/>
  <c r="I31" i="13"/>
  <c r="I32" i="13"/>
  <c r="I33" i="13"/>
  <c r="I34" i="13"/>
  <c r="I35" i="13"/>
  <c r="I36" i="13"/>
  <c r="I37" i="13"/>
  <c r="I38" i="13"/>
  <c r="I39" i="13"/>
  <c r="I40" i="13"/>
  <c r="I41" i="13"/>
  <c r="I42" i="13"/>
  <c r="I43" i="13"/>
  <c r="I44" i="13"/>
  <c r="I45" i="13"/>
  <c r="I46" i="13"/>
  <c r="I47" i="13"/>
  <c r="I48" i="13"/>
  <c r="I49" i="13"/>
  <c r="I50" i="13"/>
  <c r="I51" i="13"/>
  <c r="I52" i="13"/>
  <c r="I53" i="13"/>
  <c r="I54" i="13"/>
  <c r="I55" i="13"/>
  <c r="I56" i="13"/>
  <c r="I57" i="13"/>
  <c r="I2" i="13"/>
  <c r="H2" i="13"/>
  <c r="G3" i="13"/>
  <c r="G4" i="13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33" i="13"/>
  <c r="G34" i="13"/>
  <c r="G35" i="13"/>
  <c r="G36" i="13"/>
  <c r="G37" i="13"/>
  <c r="G38" i="13"/>
  <c r="G39" i="13"/>
  <c r="G40" i="13"/>
  <c r="G41" i="13"/>
  <c r="G42" i="13"/>
  <c r="G43" i="13"/>
  <c r="G44" i="13"/>
  <c r="G45" i="13"/>
  <c r="G46" i="13"/>
  <c r="G47" i="13"/>
  <c r="G48" i="13"/>
  <c r="G49" i="13"/>
  <c r="G50" i="13"/>
  <c r="G51" i="13"/>
  <c r="G52" i="13"/>
  <c r="G53" i="13"/>
  <c r="G54" i="13"/>
  <c r="G55" i="13"/>
  <c r="G56" i="13"/>
  <c r="G57" i="13"/>
  <c r="G2" i="13"/>
  <c r="F2" i="13"/>
  <c r="E3" i="13"/>
  <c r="E4" i="13"/>
  <c r="E5" i="13"/>
  <c r="E6" i="13"/>
  <c r="E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22" i="13"/>
  <c r="E23" i="13"/>
  <c r="E24" i="13"/>
  <c r="E25" i="13"/>
  <c r="E26" i="13"/>
  <c r="E27" i="13"/>
  <c r="E28" i="13"/>
  <c r="E29" i="13"/>
  <c r="E30" i="13"/>
  <c r="E31" i="13"/>
  <c r="E32" i="13"/>
  <c r="E33" i="13"/>
  <c r="E34" i="13"/>
  <c r="E35" i="13"/>
  <c r="E36" i="13"/>
  <c r="E37" i="13"/>
  <c r="E38" i="13"/>
  <c r="E39" i="13"/>
  <c r="E40" i="13"/>
  <c r="E41" i="13"/>
  <c r="E42" i="13"/>
  <c r="E43" i="13"/>
  <c r="E44" i="13"/>
  <c r="E45" i="13"/>
  <c r="E46" i="13"/>
  <c r="E47" i="13"/>
  <c r="E48" i="13"/>
  <c r="E49" i="13"/>
  <c r="E50" i="13"/>
  <c r="E51" i="13"/>
  <c r="E52" i="13"/>
  <c r="E53" i="13"/>
  <c r="E54" i="13"/>
  <c r="E55" i="13"/>
  <c r="E56" i="13"/>
  <c r="E57" i="13"/>
  <c r="E2" i="13"/>
  <c r="D3" i="13"/>
  <c r="D4" i="13"/>
  <c r="D5" i="13"/>
  <c r="D6" i="13"/>
  <c r="D7" i="13"/>
  <c r="D8" i="13"/>
  <c r="D9" i="13"/>
  <c r="D10" i="13"/>
  <c r="D11" i="13"/>
  <c r="D12" i="13"/>
  <c r="D13" i="13"/>
  <c r="D14" i="13"/>
  <c r="D15" i="13"/>
  <c r="D16" i="13"/>
  <c r="D17" i="13"/>
  <c r="D18" i="13"/>
  <c r="D19" i="13"/>
  <c r="D20" i="13"/>
  <c r="D21" i="13"/>
  <c r="D22" i="13"/>
  <c r="D23" i="13"/>
  <c r="D24" i="13"/>
  <c r="D25" i="13"/>
  <c r="D26" i="13"/>
  <c r="D27" i="13"/>
  <c r="D28" i="13"/>
  <c r="D29" i="13"/>
  <c r="D30" i="13"/>
  <c r="D31" i="13"/>
  <c r="D32" i="13"/>
  <c r="D33" i="13"/>
  <c r="D34" i="13"/>
  <c r="D35" i="13"/>
  <c r="D36" i="13"/>
  <c r="D37" i="13"/>
  <c r="D38" i="13"/>
  <c r="D39" i="13"/>
  <c r="D40" i="13"/>
  <c r="D41" i="13"/>
  <c r="D42" i="13"/>
  <c r="D43" i="13"/>
  <c r="D44" i="13"/>
  <c r="D45" i="13"/>
  <c r="D46" i="13"/>
  <c r="D47" i="13"/>
  <c r="D48" i="13"/>
  <c r="D49" i="13"/>
  <c r="D50" i="13"/>
  <c r="D51" i="13"/>
  <c r="D52" i="13"/>
  <c r="D53" i="13"/>
  <c r="D54" i="13"/>
  <c r="D55" i="13"/>
  <c r="D56" i="13"/>
  <c r="D57" i="13"/>
  <c r="D2" i="13"/>
  <c r="C3" i="13"/>
  <c r="C4" i="13"/>
  <c r="C5" i="13"/>
  <c r="C6" i="13"/>
  <c r="C7" i="13"/>
  <c r="C8" i="13"/>
  <c r="C9" i="13"/>
  <c r="C10" i="13"/>
  <c r="C11" i="13"/>
  <c r="C12" i="13"/>
  <c r="C13" i="13"/>
  <c r="C14" i="13"/>
  <c r="C15" i="13"/>
  <c r="C16" i="13"/>
  <c r="C17" i="13"/>
  <c r="C18" i="13"/>
  <c r="C19" i="13"/>
  <c r="C20" i="13"/>
  <c r="C21" i="13"/>
  <c r="C22" i="13"/>
  <c r="C23" i="13"/>
  <c r="C24" i="13"/>
  <c r="C25" i="13"/>
  <c r="C26" i="13"/>
  <c r="C27" i="13"/>
  <c r="C28" i="13"/>
  <c r="C29" i="13"/>
  <c r="C30" i="13"/>
  <c r="C31" i="13"/>
  <c r="C32" i="13"/>
  <c r="C33" i="13"/>
  <c r="C34" i="13"/>
  <c r="C35" i="13"/>
  <c r="C36" i="13"/>
  <c r="C37" i="13"/>
  <c r="C38" i="13"/>
  <c r="C39" i="13"/>
  <c r="C40" i="13"/>
  <c r="C41" i="13"/>
  <c r="C42" i="13"/>
  <c r="C43" i="13"/>
  <c r="C44" i="13"/>
  <c r="C45" i="13"/>
  <c r="C46" i="13"/>
  <c r="C47" i="13"/>
  <c r="C48" i="13"/>
  <c r="C49" i="13"/>
  <c r="C50" i="13"/>
  <c r="C51" i="13"/>
  <c r="C52" i="13"/>
  <c r="C53" i="13"/>
  <c r="C54" i="13"/>
  <c r="C55" i="13"/>
  <c r="C56" i="13"/>
  <c r="C57" i="13"/>
  <c r="C2" i="13"/>
  <c r="M52" i="13" l="1"/>
  <c r="M40" i="13"/>
  <c r="M28" i="13"/>
  <c r="M16" i="13"/>
  <c r="M4" i="13"/>
  <c r="M51" i="13"/>
  <c r="M39" i="13"/>
  <c r="M27" i="13"/>
  <c r="M15" i="13"/>
  <c r="M3" i="13"/>
  <c r="M50" i="13"/>
  <c r="M38" i="13"/>
  <c r="M26" i="13"/>
  <c r="M14" i="13"/>
  <c r="M49" i="13"/>
  <c r="M37" i="13"/>
  <c r="M25" i="13"/>
  <c r="M13" i="13"/>
  <c r="M48" i="13"/>
  <c r="M36" i="13"/>
  <c r="M24" i="13"/>
  <c r="M12" i="13"/>
  <c r="M47" i="13"/>
  <c r="M35" i="13"/>
  <c r="M23" i="13"/>
  <c r="M11" i="13"/>
  <c r="M46" i="13"/>
  <c r="M34" i="13"/>
  <c r="M22" i="13"/>
  <c r="M10" i="13"/>
  <c r="M57" i="13"/>
  <c r="M45" i="13"/>
  <c r="M33" i="13"/>
  <c r="M21" i="13"/>
  <c r="M9" i="13"/>
  <c r="M56" i="13"/>
  <c r="M44" i="13"/>
  <c r="M32" i="13"/>
  <c r="M20" i="13"/>
  <c r="M8" i="13"/>
  <c r="M55" i="13"/>
  <c r="M43" i="13"/>
  <c r="M31" i="13"/>
  <c r="M19" i="13"/>
  <c r="M7" i="13"/>
  <c r="M54" i="13"/>
  <c r="M42" i="13"/>
  <c r="M30" i="13"/>
  <c r="M18" i="13"/>
  <c r="M53" i="13"/>
  <c r="M41" i="13"/>
  <c r="M29" i="13"/>
  <c r="M17" i="13"/>
  <c r="M6" i="13"/>
  <c r="M5" i="13"/>
  <c r="N10" i="12" l="1"/>
  <c r="N9" i="12"/>
  <c r="N8" i="12"/>
  <c r="N7" i="12"/>
  <c r="N6" i="12"/>
  <c r="N5" i="12"/>
  <c r="N4" i="12"/>
  <c r="N3" i="12"/>
  <c r="N2" i="12"/>
  <c r="N10" i="11"/>
  <c r="N9" i="11"/>
  <c r="N8" i="11"/>
  <c r="N7" i="11"/>
  <c r="N6" i="11"/>
  <c r="N5" i="11"/>
  <c r="N4" i="11"/>
  <c r="N3" i="11"/>
  <c r="N2" i="11"/>
  <c r="N18" i="10" l="1"/>
  <c r="N17" i="10"/>
  <c r="N16" i="10"/>
  <c r="N15" i="10"/>
  <c r="N14" i="10"/>
  <c r="N13" i="10"/>
  <c r="N12" i="10"/>
  <c r="N11" i="10"/>
  <c r="N10" i="10"/>
  <c r="N9" i="10"/>
  <c r="N8" i="10"/>
  <c r="N7" i="10"/>
  <c r="N6" i="10"/>
  <c r="N5" i="10"/>
  <c r="N4" i="10"/>
  <c r="N3" i="10"/>
  <c r="N2" i="10"/>
  <c r="N24" i="9"/>
  <c r="N23" i="9"/>
  <c r="N22" i="9"/>
  <c r="N21" i="9"/>
  <c r="N20" i="9"/>
  <c r="N19" i="9"/>
  <c r="N18" i="9"/>
  <c r="N17" i="9"/>
  <c r="N16" i="9"/>
  <c r="N15" i="9"/>
  <c r="N14" i="9"/>
  <c r="N13" i="9"/>
  <c r="N12" i="9"/>
  <c r="N11" i="9"/>
  <c r="N10" i="9"/>
  <c r="N9" i="9"/>
  <c r="N8" i="9"/>
  <c r="N7" i="9"/>
  <c r="N6" i="9"/>
  <c r="N5" i="9"/>
  <c r="N4" i="9"/>
  <c r="N3" i="9"/>
  <c r="N2" i="9"/>
  <c r="N22" i="8"/>
  <c r="N21" i="8"/>
  <c r="N20" i="8"/>
  <c r="N19" i="8"/>
  <c r="N18" i="8"/>
  <c r="N17" i="8"/>
  <c r="N16" i="8"/>
  <c r="N15" i="8"/>
  <c r="N13" i="8"/>
  <c r="N12" i="8"/>
  <c r="N11" i="8"/>
  <c r="N10" i="8"/>
  <c r="N9" i="8"/>
  <c r="N8" i="8"/>
  <c r="N7" i="8"/>
  <c r="N6" i="8"/>
  <c r="N5" i="8"/>
  <c r="N4" i="8"/>
  <c r="N3" i="8"/>
  <c r="N2" i="8"/>
  <c r="N17" i="7"/>
  <c r="N16" i="7"/>
  <c r="N15" i="7"/>
  <c r="N14" i="7"/>
  <c r="N13" i="7"/>
  <c r="N12" i="7"/>
  <c r="N11" i="7"/>
  <c r="N10" i="7"/>
  <c r="N9" i="7"/>
  <c r="N8" i="7"/>
  <c r="N7" i="7"/>
  <c r="N6" i="7"/>
  <c r="N5" i="7"/>
  <c r="N4" i="7"/>
  <c r="N3" i="7"/>
  <c r="N2" i="7"/>
  <c r="N6" i="6"/>
  <c r="N16" i="6"/>
  <c r="N15" i="6"/>
  <c r="N14" i="6"/>
  <c r="N13" i="6"/>
  <c r="N11" i="6"/>
  <c r="N10" i="6"/>
  <c r="N9" i="6"/>
  <c r="N8" i="6"/>
  <c r="N5" i="6"/>
  <c r="N4" i="6"/>
  <c r="N3" i="6"/>
  <c r="N2" i="6"/>
  <c r="N18" i="5"/>
  <c r="N17" i="5"/>
  <c r="N16" i="5"/>
  <c r="N15" i="5"/>
  <c r="N14" i="5"/>
  <c r="N13" i="5"/>
  <c r="N12" i="5"/>
  <c r="N11" i="5"/>
  <c r="N10" i="5"/>
  <c r="M9" i="5"/>
  <c r="L9" i="5"/>
  <c r="K9" i="5"/>
  <c r="J9" i="5"/>
  <c r="I9" i="5"/>
  <c r="H9" i="5"/>
  <c r="G9" i="5"/>
  <c r="F9" i="5"/>
  <c r="E9" i="5"/>
  <c r="D9" i="5"/>
  <c r="C9" i="5"/>
  <c r="B9" i="5"/>
  <c r="N8" i="5"/>
  <c r="N7" i="5"/>
  <c r="N6" i="5"/>
  <c r="M5" i="5"/>
  <c r="L5" i="5"/>
  <c r="K5" i="5"/>
  <c r="J5" i="5"/>
  <c r="I5" i="5"/>
  <c r="H5" i="5"/>
  <c r="G5" i="5"/>
  <c r="F5" i="5"/>
  <c r="E5" i="5"/>
  <c r="D5" i="5"/>
  <c r="C5" i="5"/>
  <c r="B5" i="5"/>
  <c r="N4" i="5"/>
  <c r="N3" i="5"/>
  <c r="N2" i="5"/>
  <c r="N18" i="4"/>
  <c r="N17" i="4"/>
  <c r="N16" i="4"/>
  <c r="N15" i="4"/>
  <c r="N14" i="4"/>
  <c r="N13" i="4"/>
  <c r="N12" i="4"/>
  <c r="N11" i="4"/>
  <c r="N10" i="4"/>
  <c r="M9" i="4"/>
  <c r="L9" i="4"/>
  <c r="K9" i="4"/>
  <c r="J9" i="4"/>
  <c r="I9" i="4"/>
  <c r="H9" i="4"/>
  <c r="G9" i="4"/>
  <c r="F9" i="4"/>
  <c r="N8" i="4"/>
  <c r="N7" i="4"/>
  <c r="N6" i="4"/>
  <c r="M5" i="4"/>
  <c r="L5" i="4"/>
  <c r="K5" i="4"/>
  <c r="J5" i="4"/>
  <c r="I5" i="4"/>
  <c r="H5" i="4"/>
  <c r="G5" i="4"/>
  <c r="F5" i="4"/>
  <c r="E5" i="4"/>
  <c r="D5" i="4"/>
  <c r="C5" i="4"/>
  <c r="B5" i="4"/>
  <c r="N4" i="4"/>
  <c r="N3" i="4"/>
  <c r="N2" i="4"/>
  <c r="N14" i="3"/>
  <c r="N13" i="3"/>
  <c r="N12" i="3"/>
  <c r="N11" i="3"/>
  <c r="N10" i="3"/>
  <c r="N9" i="3"/>
  <c r="N8" i="3"/>
  <c r="N7" i="3"/>
  <c r="M6" i="3"/>
  <c r="L6" i="3"/>
  <c r="K6" i="3"/>
  <c r="J6" i="3"/>
  <c r="I6" i="3"/>
  <c r="H6" i="3"/>
  <c r="G6" i="3"/>
  <c r="F6" i="3"/>
  <c r="E6" i="3"/>
  <c r="D6" i="3"/>
  <c r="C6" i="3"/>
  <c r="B6" i="3"/>
  <c r="N5" i="3"/>
  <c r="N4" i="3"/>
  <c r="N3" i="3"/>
  <c r="N2" i="3"/>
  <c r="N12" i="2"/>
  <c r="N11" i="2"/>
  <c r="N10" i="2"/>
  <c r="N9" i="2"/>
  <c r="N8" i="2"/>
  <c r="N7" i="2"/>
  <c r="N6" i="2"/>
  <c r="M5" i="2"/>
  <c r="L5" i="2"/>
  <c r="K5" i="2"/>
  <c r="J5" i="2"/>
  <c r="I5" i="2"/>
  <c r="H5" i="2"/>
  <c r="G5" i="2"/>
  <c r="F5" i="2"/>
  <c r="E5" i="2"/>
  <c r="D5" i="2"/>
  <c r="C5" i="2"/>
  <c r="B5" i="2"/>
  <c r="N4" i="2"/>
  <c r="N3" i="2"/>
  <c r="N2" i="2"/>
  <c r="B2" i="13" s="1"/>
  <c r="M2" i="13" l="1"/>
  <c r="N9" i="5"/>
  <c r="N5" i="5"/>
  <c r="N9" i="4"/>
  <c r="N5" i="4"/>
  <c r="N6" i="3"/>
  <c r="N5" i="2"/>
</calcChain>
</file>

<file path=xl/sharedStrings.xml><?xml version="1.0" encoding="utf-8"?>
<sst xmlns="http://schemas.openxmlformats.org/spreadsheetml/2006/main" count="907" uniqueCount="115">
  <si>
    <t>JAN</t>
    <phoneticPr fontId="0"/>
  </si>
  <si>
    <t>FEB</t>
    <phoneticPr fontId="0"/>
  </si>
  <si>
    <t>MAR</t>
    <phoneticPr fontId="0"/>
  </si>
  <si>
    <t>APR</t>
    <phoneticPr fontId="0"/>
  </si>
  <si>
    <t>May</t>
  </si>
  <si>
    <t>Jun</t>
  </si>
  <si>
    <t>Jul</t>
  </si>
  <si>
    <t>Aug</t>
  </si>
  <si>
    <t>Sep</t>
  </si>
  <si>
    <t>Oct</t>
  </si>
  <si>
    <t>Nov</t>
  </si>
  <si>
    <t>Dec</t>
  </si>
  <si>
    <t>Total</t>
    <phoneticPr fontId="0"/>
  </si>
  <si>
    <t>FZ16</t>
    <phoneticPr fontId="0"/>
  </si>
  <si>
    <t>FZ16S</t>
    <phoneticPr fontId="0"/>
  </si>
  <si>
    <t>FZ16ST(FAZER)</t>
    <phoneticPr fontId="0"/>
  </si>
  <si>
    <t>FZ合計</t>
    <rPh sb="2" eb="4">
      <t>ゴウケイ</t>
    </rPh>
    <phoneticPr fontId="0"/>
  </si>
  <si>
    <t>FZN150</t>
    <phoneticPr fontId="0"/>
  </si>
  <si>
    <t>FZN150D</t>
    <phoneticPr fontId="0"/>
  </si>
  <si>
    <t>FZH150(FAZER)</t>
    <phoneticPr fontId="0"/>
  </si>
  <si>
    <t>YZF-R15</t>
    <phoneticPr fontId="0"/>
  </si>
  <si>
    <t>SZ 16</t>
  </si>
  <si>
    <t>SZ X</t>
  </si>
  <si>
    <t>SZ R</t>
  </si>
  <si>
    <t>YC125-5</t>
    <phoneticPr fontId="0"/>
  </si>
  <si>
    <t>XTZ 125E</t>
  </si>
  <si>
    <t>YZ 125</t>
  </si>
  <si>
    <t>YBR110</t>
    <phoneticPr fontId="0"/>
  </si>
  <si>
    <t>YBR125</t>
    <phoneticPr fontId="0"/>
  </si>
  <si>
    <t>RAY Original</t>
    <phoneticPr fontId="0"/>
  </si>
  <si>
    <t>XC115B</t>
    <phoneticPr fontId="0"/>
  </si>
  <si>
    <t>RAY</t>
  </si>
  <si>
    <t>XC115F</t>
    <phoneticPr fontId="0"/>
  </si>
  <si>
    <t>JAN</t>
  </si>
  <si>
    <t>MAY</t>
  </si>
  <si>
    <t>JUN</t>
  </si>
  <si>
    <t>JUL</t>
  </si>
  <si>
    <t>AUG</t>
  </si>
  <si>
    <t>SEP</t>
  </si>
  <si>
    <t>OCT</t>
  </si>
  <si>
    <t>NOV</t>
  </si>
  <si>
    <t>DEC</t>
  </si>
  <si>
    <t>YZ 250</t>
  </si>
  <si>
    <t>Total</t>
  </si>
  <si>
    <t>FASCINO</t>
  </si>
  <si>
    <t>RAY ZR(Drum)</t>
  </si>
  <si>
    <t>RAY ZR(Disk)</t>
  </si>
  <si>
    <t>JAN</t>
    <phoneticPr fontId="3"/>
  </si>
  <si>
    <t>FEB</t>
    <phoneticPr fontId="2"/>
  </si>
  <si>
    <t>MAR</t>
    <phoneticPr fontId="2"/>
  </si>
  <si>
    <t>APR</t>
    <phoneticPr fontId="2"/>
  </si>
  <si>
    <t>Total</t>
    <phoneticPr fontId="3"/>
  </si>
  <si>
    <t>YZF-R15</t>
    <phoneticPr fontId="3"/>
  </si>
  <si>
    <t>XJ900PCZ6</t>
  </si>
  <si>
    <t>FZ16</t>
    <phoneticPr fontId="3"/>
  </si>
  <si>
    <t>FZN150 FZ ver.2</t>
    <phoneticPr fontId="3"/>
  </si>
  <si>
    <t>FZN150D FZS ver.2</t>
    <phoneticPr fontId="3"/>
  </si>
  <si>
    <t>FZN250</t>
  </si>
  <si>
    <t>FZH150 FAZER ver.2</t>
    <phoneticPr fontId="3"/>
  </si>
  <si>
    <t>YC125-5 SALUTO DISK</t>
    <phoneticPr fontId="3"/>
  </si>
  <si>
    <t>Saluto Rx</t>
  </si>
  <si>
    <t>YBR110</t>
    <phoneticPr fontId="3"/>
  </si>
  <si>
    <t>XC115B RAY Z</t>
    <phoneticPr fontId="3"/>
  </si>
  <si>
    <t>RAY Z (NEW)</t>
  </si>
  <si>
    <t>XC115C FASCINO</t>
    <phoneticPr fontId="5"/>
  </si>
  <si>
    <t>XC115F ALPHA</t>
    <phoneticPr fontId="3"/>
  </si>
  <si>
    <t>XC115B RAY ZR(Drum)</t>
    <phoneticPr fontId="5"/>
  </si>
  <si>
    <t>XC115BD RAY ZR(Disk)</t>
    <phoneticPr fontId="5"/>
  </si>
  <si>
    <t>R3</t>
  </si>
  <si>
    <t>FZN150D FZS ver.2</t>
  </si>
  <si>
    <t>FZN150D(Rear Disc.)</t>
  </si>
  <si>
    <t>YC125-5 SALUTO DISK</t>
  </si>
  <si>
    <t>XC115F ALPHA DISC</t>
  </si>
  <si>
    <t>XC115BD RAY ZR(Disk)</t>
  </si>
  <si>
    <t>XC115BD RAY SR(Disk)</t>
  </si>
  <si>
    <t>FZN150 FZ ver.3</t>
  </si>
  <si>
    <t>FZN150D FZS ver.3</t>
  </si>
  <si>
    <t>MT-15</t>
  </si>
  <si>
    <t>N Max</t>
  </si>
  <si>
    <t>Arroex</t>
  </si>
  <si>
    <t>Fascino 125cc</t>
  </si>
  <si>
    <t>Ray ZR-DK-125cc</t>
  </si>
  <si>
    <t>Ray ZR-SR-125cc</t>
  </si>
  <si>
    <t>XC115F ALPHA</t>
  </si>
  <si>
    <t>FZ - V2</t>
  </si>
  <si>
    <t>FZ - V4</t>
  </si>
  <si>
    <t>FZ -S- FI</t>
  </si>
  <si>
    <t>Ray ZR - 125 Disc</t>
  </si>
  <si>
    <t>Ray ZR - 125 Street Rally</t>
  </si>
  <si>
    <t>Ray ZR -Disc</t>
  </si>
  <si>
    <t>Ray ZR -Street Rally</t>
  </si>
  <si>
    <t>FZ16</t>
  </si>
  <si>
    <t>FZ16S</t>
  </si>
  <si>
    <t>FZ16ST(FAZER)</t>
  </si>
  <si>
    <t>FZ合計</t>
  </si>
  <si>
    <t>YBR110</t>
  </si>
  <si>
    <t>YBR125</t>
  </si>
  <si>
    <t>RAY Original</t>
  </si>
  <si>
    <t>YZF-R15</t>
  </si>
  <si>
    <t>XC115F</t>
  </si>
  <si>
    <t>FZN150</t>
  </si>
  <si>
    <t>FZN150D</t>
  </si>
  <si>
    <t>FZH150(FAZER)</t>
  </si>
  <si>
    <t>YC125-5</t>
  </si>
  <si>
    <t>XC115B</t>
  </si>
  <si>
    <t>FZN150 FZ ver.2</t>
  </si>
  <si>
    <t>FZH150 FAZER ver.2</t>
  </si>
  <si>
    <t>XC115B RAY Z</t>
  </si>
  <si>
    <t>XC115C FASCINO</t>
  </si>
  <si>
    <t>XC115B RAY ZR(Drum)</t>
  </si>
  <si>
    <t>Model</t>
  </si>
  <si>
    <t>2026*</t>
  </si>
  <si>
    <t>Total Sales Units</t>
  </si>
  <si>
    <t>-</t>
  </si>
  <si>
    <t>UIO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</si>
</sst>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3"/>
      <charset val="128"/>
      <scheme val="minor"/>
    </font>
    <font>
      <sz val="9"/>
      <color indexed="8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4"/>
      <color theme="1"/>
      <name val="Aptos Narrow"/>
      <family val="3"/>
      <charset val="128"/>
      <scheme val="minor"/>
    </font>
    <font>
      <sz val="14"/>
      <color theme="1"/>
      <name val="Arial"/>
      <family val="2"/>
    </font>
    <font>
      <sz val="12"/>
      <color theme="1"/>
      <name val="Aptos Narrow"/>
      <family val="3"/>
      <charset val="128"/>
      <scheme val="minor"/>
    </font>
    <font>
      <sz val="12"/>
      <color indexed="8"/>
      <name val="Aptos Narrow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40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</cellStyleXfs>
  <cellXfs count="37">
    <xf numFmtId="0" fontId="0" fillId="0" borderId="0" xfId="0"/>
    <xf numFmtId="0" fontId="3" fillId="0" borderId="0" xfId="1" applyFont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3" fillId="0" borderId="1" xfId="1" applyFont="1" applyBorder="1" applyAlignment="1"/>
    <xf numFmtId="0" fontId="4" fillId="0" borderId="0" xfId="1" applyFont="1">
      <alignment vertical="center"/>
    </xf>
    <xf numFmtId="0" fontId="3" fillId="0" borderId="1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3" fillId="0" borderId="1" xfId="1" applyFont="1" applyBorder="1" applyAlignment="1">
      <alignment horizontal="left" vertical="center"/>
    </xf>
    <xf numFmtId="0" fontId="3" fillId="0" borderId="1" xfId="1" applyFont="1" applyBorder="1" applyAlignment="1">
      <alignment horizontal="center"/>
    </xf>
    <xf numFmtId="38" fontId="3" fillId="0" borderId="1" xfId="1" applyNumberFormat="1" applyFont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3" fillId="0" borderId="2" xfId="1" applyFont="1" applyBorder="1" applyAlignment="1">
      <alignment horizontal="center"/>
    </xf>
    <xf numFmtId="41" fontId="3" fillId="0" borderId="1" xfId="2" applyNumberFormat="1" applyFont="1" applyFill="1" applyBorder="1" applyAlignment="1">
      <alignment horizontal="center"/>
    </xf>
    <xf numFmtId="0" fontId="3" fillId="0" borderId="4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1" fillId="0" borderId="0" xfId="1" applyFont="1" applyAlignment="1">
      <alignment horizontal="center"/>
    </xf>
    <xf numFmtId="0" fontId="6" fillId="0" borderId="0" xfId="1" applyFont="1" applyAlignment="1">
      <alignment horizontal="center"/>
    </xf>
    <xf numFmtId="0" fontId="3" fillId="0" borderId="1" xfId="2" applyNumberFormat="1" applyFont="1" applyFill="1" applyBorder="1" applyAlignment="1">
      <alignment horizontal="center"/>
    </xf>
    <xf numFmtId="1" fontId="3" fillId="0" borderId="1" xfId="1" applyNumberFormat="1" applyFont="1" applyBorder="1" applyAlignment="1">
      <alignment horizontal="center" vertical="center"/>
    </xf>
    <xf numFmtId="1" fontId="3" fillId="0" borderId="2" xfId="1" applyNumberFormat="1" applyFont="1" applyBorder="1" applyAlignment="1">
      <alignment horizontal="center" vertical="center"/>
    </xf>
    <xf numFmtId="1" fontId="3" fillId="0" borderId="1" xfId="2" applyNumberFormat="1" applyFont="1" applyFill="1" applyBorder="1" applyAlignment="1">
      <alignment horizontal="center"/>
    </xf>
    <xf numFmtId="1" fontId="3" fillId="0" borderId="1" xfId="1" applyNumberFormat="1" applyFont="1" applyBorder="1" applyAlignment="1">
      <alignment horizontal="center"/>
    </xf>
    <xf numFmtId="1" fontId="3" fillId="0" borderId="2" xfId="1" applyNumberFormat="1" applyFont="1" applyBorder="1" applyAlignment="1">
      <alignment horizontal="center"/>
    </xf>
    <xf numFmtId="0" fontId="7" fillId="0" borderId="0" xfId="1" applyFont="1">
      <alignment vertical="center"/>
    </xf>
    <xf numFmtId="0" fontId="8" fillId="0" borderId="0" xfId="1" applyFont="1" applyAlignment="1"/>
    <xf numFmtId="0" fontId="9" fillId="0" borderId="0" xfId="1" applyFont="1">
      <alignment vertical="center"/>
    </xf>
    <xf numFmtId="0" fontId="9" fillId="4" borderId="0" xfId="1" applyFont="1" applyFill="1">
      <alignment vertical="center"/>
    </xf>
    <xf numFmtId="0" fontId="10" fillId="0" borderId="4" xfId="1" applyFont="1" applyBorder="1" applyAlignment="1">
      <alignment horizontal="center" vertical="center"/>
    </xf>
    <xf numFmtId="38" fontId="9" fillId="0" borderId="0" xfId="1" applyNumberFormat="1" applyFont="1">
      <alignment vertical="center"/>
    </xf>
    <xf numFmtId="2" fontId="0" fillId="0" borderId="0" xfId="0" applyNumberFormat="1"/>
    <xf numFmtId="1" fontId="0" fillId="0" borderId="0" xfId="0" applyNumberFormat="1"/>
    <xf numFmtId="49" fontId="0" fillId="0" borderId="0" xfId="0" applyNumberFormat="1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left" indent="3"/>
    </xf>
    <xf numFmtId="0" fontId="0" fillId="0" borderId="0" xfId="0" applyAlignment="1">
      <alignment horizontal="center"/>
    </xf>
  </cellXfs>
  <cellStyles count="5">
    <cellStyle name="Comma [0] 2" xfId="2" xr:uid="{EAB7C869-3122-4D63-B23C-FFE0AE4D044E}"/>
    <cellStyle name="Comma 2" xfId="3" xr:uid="{F508ECCD-5ADB-4846-BEE7-2C9FB73614E2}"/>
    <cellStyle name="Normal" xfId="0" builtinId="0"/>
    <cellStyle name="Normal 2" xfId="1" xr:uid="{FFF621F5-0E58-4BD9-8A26-5913665DEF30}"/>
    <cellStyle name="Percent 2" xfId="4" xr:uid="{3AD345C4-BCEA-450B-9A5C-0767637D4E7C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5E993-9FA4-481F-BFF9-DB99D76F2DD7}">
  <sheetPr filterMode="1"/>
  <dimension ref="A1:M58"/>
  <sheetViews>
    <sheetView tabSelected="1" workbookViewId="0">
      <selection activeCell="C2" sqref="C2"/>
    </sheetView>
  </sheetViews>
  <sheetFormatPr defaultRowHeight="14.5" x14ac:dyDescent="0.35"/>
  <cols>
    <col min="1" max="1" width="23.08984375" customWidth="1"/>
  </cols>
  <sheetData>
    <row r="1" spans="1:13" x14ac:dyDescent="0.35">
      <c r="A1" t="s">
        <v>110</v>
      </c>
      <c r="B1" s="33">
        <v>2013</v>
      </c>
      <c r="C1" s="33">
        <v>2014</v>
      </c>
      <c r="D1" s="33">
        <v>2015</v>
      </c>
      <c r="E1" s="33">
        <v>2016</v>
      </c>
      <c r="F1" s="33">
        <v>2017</v>
      </c>
      <c r="G1" s="33">
        <v>2018</v>
      </c>
      <c r="H1" s="33">
        <v>2019</v>
      </c>
      <c r="I1" s="33">
        <v>2020</v>
      </c>
      <c r="J1" s="33">
        <v>2021</v>
      </c>
      <c r="K1" s="33">
        <v>2025</v>
      </c>
      <c r="L1" s="33" t="s">
        <v>111</v>
      </c>
      <c r="M1" s="36" t="s">
        <v>114</v>
      </c>
    </row>
    <row r="2" spans="1:13" x14ac:dyDescent="0.35">
      <c r="A2" t="s">
        <v>91</v>
      </c>
      <c r="B2" s="32">
        <v>187</v>
      </c>
      <c r="C2" s="32">
        <v>925</v>
      </c>
      <c r="D2" s="32">
        <v>602</v>
      </c>
      <c r="E2" s="31" t="s">
        <v>113</v>
      </c>
      <c r="F2" s="31" t="s">
        <v>113</v>
      </c>
      <c r="G2" s="31" t="s">
        <v>113</v>
      </c>
      <c r="H2" s="31" t="s">
        <v>113</v>
      </c>
      <c r="I2" s="31" t="s">
        <v>113</v>
      </c>
      <c r="J2" s="31" t="s">
        <v>113</v>
      </c>
      <c r="K2" s="31" t="s">
        <v>113</v>
      </c>
      <c r="L2" s="31" t="s">
        <v>113</v>
      </c>
      <c r="M2" s="32">
        <f>SUM(B2:L2)</f>
        <v>1714</v>
      </c>
    </row>
    <row r="3" spans="1:13" x14ac:dyDescent="0.35">
      <c r="A3" t="s">
        <v>92</v>
      </c>
      <c r="B3" s="32">
        <v>196</v>
      </c>
      <c r="C3" s="32">
        <v>1028</v>
      </c>
      <c r="D3" s="32">
        <v>623</v>
      </c>
      <c r="E3" s="31" t="s">
        <v>113</v>
      </c>
      <c r="F3" s="31" t="s">
        <v>113</v>
      </c>
      <c r="G3" s="31" t="s">
        <v>113</v>
      </c>
      <c r="H3" s="31" t="s">
        <v>113</v>
      </c>
      <c r="I3" s="31" t="s">
        <v>113</v>
      </c>
      <c r="J3" s="31" t="s">
        <v>113</v>
      </c>
      <c r="K3" s="31" t="s">
        <v>113</v>
      </c>
      <c r="L3" s="31" t="s">
        <v>113</v>
      </c>
      <c r="M3" s="32">
        <f t="shared" ref="M3:M57" si="0">SUM(B3:L3)</f>
        <v>1847</v>
      </c>
    </row>
    <row r="4" spans="1:13" x14ac:dyDescent="0.35">
      <c r="A4" t="s">
        <v>93</v>
      </c>
      <c r="B4">
        <v>29</v>
      </c>
      <c r="C4">
        <v>125</v>
      </c>
      <c r="D4" s="32">
        <v>78</v>
      </c>
      <c r="E4" s="31" t="s">
        <v>113</v>
      </c>
      <c r="F4" s="31" t="s">
        <v>113</v>
      </c>
      <c r="G4" s="31" t="s">
        <v>113</v>
      </c>
      <c r="H4" s="31" t="s">
        <v>113</v>
      </c>
      <c r="I4" s="31" t="s">
        <v>113</v>
      </c>
      <c r="J4" s="31" t="s">
        <v>113</v>
      </c>
      <c r="K4" s="31" t="s">
        <v>113</v>
      </c>
      <c r="L4" s="31" t="s">
        <v>113</v>
      </c>
      <c r="M4" s="32">
        <f t="shared" si="0"/>
        <v>232</v>
      </c>
    </row>
    <row r="5" spans="1:13" x14ac:dyDescent="0.35">
      <c r="A5" t="s">
        <v>94</v>
      </c>
      <c r="B5">
        <v>412</v>
      </c>
      <c r="C5" s="32">
        <v>2078</v>
      </c>
      <c r="D5">
        <v>1303</v>
      </c>
      <c r="E5" s="31" t="s">
        <v>113</v>
      </c>
      <c r="F5" s="31" t="s">
        <v>113</v>
      </c>
      <c r="G5" s="31" t="s">
        <v>113</v>
      </c>
      <c r="H5" s="31" t="s">
        <v>113</v>
      </c>
      <c r="I5" s="31" t="s">
        <v>113</v>
      </c>
      <c r="J5" s="31" t="s">
        <v>113</v>
      </c>
      <c r="K5" s="31" t="s">
        <v>113</v>
      </c>
      <c r="L5" s="31" t="s">
        <v>113</v>
      </c>
      <c r="M5" s="32">
        <f t="shared" si="0"/>
        <v>3793</v>
      </c>
    </row>
    <row r="6" spans="1:13" hidden="1" x14ac:dyDescent="0.35">
      <c r="A6" t="s">
        <v>21</v>
      </c>
      <c r="B6" s="31" t="s">
        <v>113</v>
      </c>
      <c r="C6" s="31" t="s">
        <v>113</v>
      </c>
      <c r="D6" s="31" t="s">
        <v>113</v>
      </c>
      <c r="E6" s="31" t="s">
        <v>113</v>
      </c>
      <c r="F6" s="31" t="s">
        <v>113</v>
      </c>
      <c r="G6" s="31" t="s">
        <v>113</v>
      </c>
      <c r="H6" s="31" t="s">
        <v>113</v>
      </c>
      <c r="I6" s="31" t="s">
        <v>113</v>
      </c>
      <c r="J6" s="31" t="s">
        <v>113</v>
      </c>
      <c r="K6" s="31" t="s">
        <v>113</v>
      </c>
      <c r="L6" s="31" t="s">
        <v>113</v>
      </c>
      <c r="M6" s="32">
        <f t="shared" si="0"/>
        <v>0</v>
      </c>
    </row>
    <row r="7" spans="1:13" x14ac:dyDescent="0.35">
      <c r="A7" t="s">
        <v>22</v>
      </c>
      <c r="B7" s="32">
        <v>15</v>
      </c>
      <c r="C7">
        <v>129</v>
      </c>
      <c r="D7" s="31" t="s">
        <v>113</v>
      </c>
      <c r="E7" s="31" t="s">
        <v>113</v>
      </c>
      <c r="F7" s="31" t="s">
        <v>113</v>
      </c>
      <c r="G7" s="31" t="s">
        <v>113</v>
      </c>
      <c r="H7" s="31" t="s">
        <v>113</v>
      </c>
      <c r="I7" s="31" t="s">
        <v>113</v>
      </c>
      <c r="J7" s="31" t="s">
        <v>113</v>
      </c>
      <c r="K7" s="31" t="s">
        <v>113</v>
      </c>
      <c r="L7" s="31" t="s">
        <v>113</v>
      </c>
      <c r="M7" s="32">
        <f t="shared" si="0"/>
        <v>144</v>
      </c>
    </row>
    <row r="8" spans="1:13" x14ac:dyDescent="0.35">
      <c r="A8" t="s">
        <v>23</v>
      </c>
      <c r="B8">
        <v>34</v>
      </c>
      <c r="C8" s="32">
        <v>42</v>
      </c>
      <c r="D8" s="31" t="s">
        <v>113</v>
      </c>
      <c r="E8" s="31" t="s">
        <v>113</v>
      </c>
      <c r="F8" s="31" t="s">
        <v>113</v>
      </c>
      <c r="G8" s="31" t="s">
        <v>113</v>
      </c>
      <c r="H8" s="31" t="s">
        <v>113</v>
      </c>
      <c r="I8" s="31" t="s">
        <v>113</v>
      </c>
      <c r="J8" s="31" t="s">
        <v>113</v>
      </c>
      <c r="K8" s="31" t="s">
        <v>113</v>
      </c>
      <c r="L8" s="31" t="s">
        <v>113</v>
      </c>
      <c r="M8" s="32">
        <f t="shared" si="0"/>
        <v>76</v>
      </c>
    </row>
    <row r="9" spans="1:13" hidden="1" x14ac:dyDescent="0.35">
      <c r="A9" t="s">
        <v>25</v>
      </c>
      <c r="B9" s="31" t="s">
        <v>113</v>
      </c>
      <c r="C9" s="31" t="s">
        <v>113</v>
      </c>
      <c r="D9" s="31" t="s">
        <v>113</v>
      </c>
      <c r="E9" s="31" t="s">
        <v>113</v>
      </c>
      <c r="F9" s="31" t="s">
        <v>113</v>
      </c>
      <c r="G9" s="31" t="s">
        <v>113</v>
      </c>
      <c r="H9" s="31" t="s">
        <v>113</v>
      </c>
      <c r="I9" s="31" t="s">
        <v>113</v>
      </c>
      <c r="J9" s="31" t="s">
        <v>113</v>
      </c>
      <c r="K9" s="31" t="s">
        <v>113</v>
      </c>
      <c r="L9" s="31" t="s">
        <v>113</v>
      </c>
      <c r="M9" s="32">
        <f t="shared" si="0"/>
        <v>0</v>
      </c>
    </row>
    <row r="10" spans="1:13" hidden="1" x14ac:dyDescent="0.35">
      <c r="A10" t="s">
        <v>26</v>
      </c>
      <c r="B10" s="31" t="s">
        <v>113</v>
      </c>
      <c r="C10" s="31" t="s">
        <v>113</v>
      </c>
      <c r="D10" s="31" t="s">
        <v>113</v>
      </c>
      <c r="E10" s="31" t="s">
        <v>113</v>
      </c>
      <c r="F10" s="31" t="s">
        <v>113</v>
      </c>
      <c r="G10" s="31" t="s">
        <v>113</v>
      </c>
      <c r="H10" s="31" t="s">
        <v>113</v>
      </c>
      <c r="I10" s="31" t="s">
        <v>113</v>
      </c>
      <c r="J10" s="31" t="s">
        <v>113</v>
      </c>
      <c r="K10" s="31" t="s">
        <v>113</v>
      </c>
      <c r="L10" s="31" t="s">
        <v>113</v>
      </c>
      <c r="M10" s="32">
        <f t="shared" si="0"/>
        <v>0</v>
      </c>
    </row>
    <row r="11" spans="1:13" x14ac:dyDescent="0.35">
      <c r="A11" t="s">
        <v>95</v>
      </c>
      <c r="B11" s="31" t="s">
        <v>113</v>
      </c>
      <c r="C11" s="31" t="s">
        <v>113</v>
      </c>
      <c r="D11">
        <v>20</v>
      </c>
      <c r="E11" s="31" t="s">
        <v>113</v>
      </c>
      <c r="F11" s="31" t="s">
        <v>113</v>
      </c>
      <c r="G11" s="31" t="s">
        <v>113</v>
      </c>
      <c r="H11" s="31" t="s">
        <v>113</v>
      </c>
      <c r="I11" s="31" t="s">
        <v>113</v>
      </c>
      <c r="J11" s="31" t="s">
        <v>113</v>
      </c>
      <c r="K11" s="31" t="s">
        <v>113</v>
      </c>
      <c r="L11" s="31" t="s">
        <v>113</v>
      </c>
      <c r="M11" s="32">
        <f t="shared" si="0"/>
        <v>20</v>
      </c>
    </row>
    <row r="12" spans="1:13" hidden="1" x14ac:dyDescent="0.35">
      <c r="A12" t="s">
        <v>96</v>
      </c>
      <c r="B12" s="31" t="s">
        <v>113</v>
      </c>
      <c r="C12" s="31" t="s">
        <v>113</v>
      </c>
      <c r="D12" s="31" t="s">
        <v>113</v>
      </c>
      <c r="E12" s="31" t="s">
        <v>113</v>
      </c>
      <c r="F12" s="31" t="s">
        <v>113</v>
      </c>
      <c r="G12" s="31" t="s">
        <v>113</v>
      </c>
      <c r="H12" s="31" t="s">
        <v>113</v>
      </c>
      <c r="I12" s="31" t="s">
        <v>113</v>
      </c>
      <c r="J12" s="31" t="s">
        <v>113</v>
      </c>
      <c r="K12" s="31" t="s">
        <v>113</v>
      </c>
      <c r="L12" s="31" t="s">
        <v>113</v>
      </c>
      <c r="M12" s="32">
        <f t="shared" si="0"/>
        <v>0</v>
      </c>
    </row>
    <row r="13" spans="1:13" x14ac:dyDescent="0.35">
      <c r="A13" t="s">
        <v>97</v>
      </c>
      <c r="B13">
        <v>348</v>
      </c>
      <c r="C13">
        <v>1316</v>
      </c>
      <c r="D13" s="32">
        <v>606</v>
      </c>
      <c r="E13">
        <v>13</v>
      </c>
      <c r="F13" s="31" t="s">
        <v>113</v>
      </c>
      <c r="G13" s="31" t="s">
        <v>113</v>
      </c>
      <c r="H13" s="31" t="s">
        <v>113</v>
      </c>
      <c r="I13" s="31" t="s">
        <v>113</v>
      </c>
      <c r="J13" s="31" t="s">
        <v>113</v>
      </c>
      <c r="K13" s="31" t="s">
        <v>113</v>
      </c>
      <c r="L13" s="31" t="s">
        <v>113</v>
      </c>
      <c r="M13" s="32">
        <f t="shared" si="0"/>
        <v>2283</v>
      </c>
    </row>
    <row r="14" spans="1:13" hidden="1" x14ac:dyDescent="0.35">
      <c r="A14" t="s">
        <v>42</v>
      </c>
      <c r="B14" s="31" t="s">
        <v>113</v>
      </c>
      <c r="C14" s="31" t="s">
        <v>113</v>
      </c>
      <c r="D14" s="31" t="s">
        <v>113</v>
      </c>
      <c r="E14" s="31" t="s">
        <v>113</v>
      </c>
      <c r="F14" s="31" t="s">
        <v>113</v>
      </c>
      <c r="G14" s="31" t="s">
        <v>113</v>
      </c>
      <c r="H14" s="31" t="s">
        <v>113</v>
      </c>
      <c r="I14" s="31" t="s">
        <v>113</v>
      </c>
      <c r="J14" s="31" t="s">
        <v>113</v>
      </c>
      <c r="K14" s="31" t="s">
        <v>113</v>
      </c>
      <c r="L14" s="31" t="s">
        <v>113</v>
      </c>
      <c r="M14" s="32">
        <f t="shared" si="0"/>
        <v>0</v>
      </c>
    </row>
    <row r="15" spans="1:13" x14ac:dyDescent="0.35">
      <c r="A15" t="s">
        <v>98</v>
      </c>
      <c r="B15" s="31" t="s">
        <v>113</v>
      </c>
      <c r="C15" s="31" t="s">
        <v>113</v>
      </c>
      <c r="D15">
        <v>13</v>
      </c>
      <c r="E15" s="35">
        <v>48</v>
      </c>
      <c r="F15">
        <v>55</v>
      </c>
      <c r="G15">
        <v>101</v>
      </c>
      <c r="H15">
        <v>784</v>
      </c>
      <c r="I15">
        <v>566</v>
      </c>
      <c r="J15">
        <v>1</v>
      </c>
      <c r="K15">
        <v>832</v>
      </c>
      <c r="L15">
        <v>80</v>
      </c>
      <c r="M15" s="32">
        <f t="shared" si="0"/>
        <v>2480</v>
      </c>
    </row>
    <row r="16" spans="1:13" x14ac:dyDescent="0.35">
      <c r="A16" t="s">
        <v>99</v>
      </c>
      <c r="B16" s="31" t="s">
        <v>113</v>
      </c>
      <c r="C16" s="32">
        <v>22</v>
      </c>
      <c r="D16">
        <v>624</v>
      </c>
      <c r="E16">
        <v>514</v>
      </c>
      <c r="F16" s="31" t="s">
        <v>113</v>
      </c>
      <c r="G16" s="31" t="s">
        <v>113</v>
      </c>
      <c r="H16" s="31" t="s">
        <v>113</v>
      </c>
      <c r="I16" s="31" t="s">
        <v>113</v>
      </c>
      <c r="J16" s="31" t="s">
        <v>113</v>
      </c>
      <c r="K16" s="31" t="s">
        <v>113</v>
      </c>
      <c r="L16" s="31" t="s">
        <v>113</v>
      </c>
      <c r="M16" s="32">
        <f t="shared" si="0"/>
        <v>1160</v>
      </c>
    </row>
    <row r="17" spans="1:13" x14ac:dyDescent="0.35">
      <c r="A17" t="s">
        <v>100</v>
      </c>
      <c r="B17" s="31" t="s">
        <v>113</v>
      </c>
      <c r="C17" s="31" t="s">
        <v>113</v>
      </c>
      <c r="D17">
        <v>861</v>
      </c>
      <c r="E17">
        <v>2257</v>
      </c>
      <c r="F17" s="31" t="s">
        <v>113</v>
      </c>
      <c r="G17" s="31" t="s">
        <v>113</v>
      </c>
      <c r="H17" s="31" t="s">
        <v>113</v>
      </c>
      <c r="I17" s="31" t="s">
        <v>113</v>
      </c>
      <c r="J17" s="31" t="s">
        <v>113</v>
      </c>
      <c r="K17" s="31" t="s">
        <v>113</v>
      </c>
      <c r="L17" s="31" t="s">
        <v>113</v>
      </c>
      <c r="M17" s="32">
        <f t="shared" si="0"/>
        <v>3118</v>
      </c>
    </row>
    <row r="18" spans="1:13" x14ac:dyDescent="0.35">
      <c r="A18" t="s">
        <v>101</v>
      </c>
      <c r="B18" s="31" t="s">
        <v>113</v>
      </c>
      <c r="C18" s="31" t="s">
        <v>113</v>
      </c>
      <c r="D18">
        <v>1577</v>
      </c>
      <c r="E18" s="32">
        <v>4317</v>
      </c>
      <c r="F18" s="31" t="s">
        <v>113</v>
      </c>
      <c r="G18" s="31" t="s">
        <v>113</v>
      </c>
      <c r="H18" s="31" t="s">
        <v>113</v>
      </c>
      <c r="I18" s="31" t="s">
        <v>113</v>
      </c>
      <c r="J18" s="31" t="s">
        <v>113</v>
      </c>
      <c r="K18" s="31" t="s">
        <v>113</v>
      </c>
      <c r="L18" s="31" t="s">
        <v>113</v>
      </c>
      <c r="M18" s="32">
        <f t="shared" si="0"/>
        <v>5894</v>
      </c>
    </row>
    <row r="19" spans="1:13" x14ac:dyDescent="0.35">
      <c r="A19" t="s">
        <v>102</v>
      </c>
      <c r="B19" s="31" t="s">
        <v>113</v>
      </c>
      <c r="C19" s="31" t="s">
        <v>113</v>
      </c>
      <c r="D19" s="32">
        <v>164</v>
      </c>
      <c r="E19" s="32">
        <v>474</v>
      </c>
      <c r="F19" s="31" t="s">
        <v>113</v>
      </c>
      <c r="G19" s="31" t="s">
        <v>113</v>
      </c>
      <c r="H19" s="31" t="s">
        <v>113</v>
      </c>
      <c r="I19" s="31" t="s">
        <v>113</v>
      </c>
      <c r="J19" s="31" t="s">
        <v>113</v>
      </c>
      <c r="K19" s="31" t="s">
        <v>113</v>
      </c>
      <c r="L19" s="31" t="s">
        <v>113</v>
      </c>
      <c r="M19" s="32">
        <f t="shared" si="0"/>
        <v>638</v>
      </c>
    </row>
    <row r="20" spans="1:13" x14ac:dyDescent="0.35">
      <c r="A20" t="s">
        <v>103</v>
      </c>
      <c r="B20" s="31" t="s">
        <v>113</v>
      </c>
      <c r="C20" s="31" t="s">
        <v>113</v>
      </c>
      <c r="D20" s="32">
        <v>46</v>
      </c>
      <c r="E20">
        <v>622</v>
      </c>
      <c r="F20" s="31" t="s">
        <v>113</v>
      </c>
      <c r="G20" s="31" t="s">
        <v>113</v>
      </c>
      <c r="H20" s="31" t="s">
        <v>113</v>
      </c>
      <c r="I20" s="31" t="s">
        <v>113</v>
      </c>
      <c r="J20" s="31" t="s">
        <v>113</v>
      </c>
      <c r="K20" s="31" t="s">
        <v>113</v>
      </c>
      <c r="L20" s="31" t="s">
        <v>113</v>
      </c>
      <c r="M20" s="32">
        <f t="shared" si="0"/>
        <v>668</v>
      </c>
    </row>
    <row r="21" spans="1:13" x14ac:dyDescent="0.35">
      <c r="A21" t="s">
        <v>104</v>
      </c>
      <c r="B21" s="31" t="s">
        <v>113</v>
      </c>
      <c r="C21" s="31" t="s">
        <v>113</v>
      </c>
      <c r="D21" s="32">
        <v>1586</v>
      </c>
      <c r="E21" s="32">
        <v>1950</v>
      </c>
      <c r="F21" s="31" t="s">
        <v>113</v>
      </c>
      <c r="G21" s="31" t="s">
        <v>113</v>
      </c>
      <c r="H21" s="31" t="s">
        <v>113</v>
      </c>
      <c r="I21" s="31" t="s">
        <v>113</v>
      </c>
      <c r="J21" s="31" t="s">
        <v>113</v>
      </c>
      <c r="K21" s="31" t="s">
        <v>113</v>
      </c>
      <c r="L21" s="31" t="s">
        <v>113</v>
      </c>
      <c r="M21" s="32">
        <f t="shared" si="0"/>
        <v>3536</v>
      </c>
    </row>
    <row r="22" spans="1:13" x14ac:dyDescent="0.35">
      <c r="A22" t="s">
        <v>44</v>
      </c>
      <c r="B22" s="31" t="s">
        <v>113</v>
      </c>
      <c r="C22" s="31" t="s">
        <v>113</v>
      </c>
      <c r="D22" s="31" t="s">
        <v>113</v>
      </c>
      <c r="E22">
        <v>421</v>
      </c>
      <c r="F22" s="31" t="s">
        <v>113</v>
      </c>
      <c r="G22" s="31" t="s">
        <v>113</v>
      </c>
      <c r="H22" s="31" t="s">
        <v>113</v>
      </c>
      <c r="I22" s="31" t="s">
        <v>113</v>
      </c>
      <c r="J22" s="31" t="s">
        <v>113</v>
      </c>
      <c r="K22" s="31" t="s">
        <v>113</v>
      </c>
      <c r="L22" s="31" t="s">
        <v>113</v>
      </c>
      <c r="M22" s="32">
        <f t="shared" si="0"/>
        <v>421</v>
      </c>
    </row>
    <row r="23" spans="1:13" hidden="1" x14ac:dyDescent="0.35">
      <c r="A23" t="s">
        <v>31</v>
      </c>
      <c r="B23" s="31" t="s">
        <v>113</v>
      </c>
      <c r="C23" s="31" t="s">
        <v>113</v>
      </c>
      <c r="D23" s="31" t="s">
        <v>113</v>
      </c>
      <c r="E23" s="31" t="s">
        <v>113</v>
      </c>
      <c r="F23" s="31" t="s">
        <v>113</v>
      </c>
      <c r="G23" s="31" t="s">
        <v>113</v>
      </c>
      <c r="H23" s="31" t="s">
        <v>113</v>
      </c>
      <c r="I23" s="31" t="s">
        <v>113</v>
      </c>
      <c r="J23" s="31" t="s">
        <v>113</v>
      </c>
      <c r="K23" s="31" t="s">
        <v>113</v>
      </c>
      <c r="L23" s="31" t="s">
        <v>113</v>
      </c>
      <c r="M23" s="32">
        <f t="shared" si="0"/>
        <v>0</v>
      </c>
    </row>
    <row r="24" spans="1:13" x14ac:dyDescent="0.35">
      <c r="A24" t="s">
        <v>45</v>
      </c>
      <c r="B24" s="31" t="s">
        <v>113</v>
      </c>
      <c r="C24" s="31" t="s">
        <v>113</v>
      </c>
      <c r="D24" s="31" t="s">
        <v>113</v>
      </c>
      <c r="E24">
        <v>3359</v>
      </c>
      <c r="F24" s="31" t="s">
        <v>113</v>
      </c>
      <c r="G24" s="31" t="s">
        <v>113</v>
      </c>
      <c r="H24" s="31" t="s">
        <v>113</v>
      </c>
      <c r="I24" s="31" t="s">
        <v>113</v>
      </c>
      <c r="J24" s="31" t="s">
        <v>113</v>
      </c>
      <c r="K24" s="31" t="s">
        <v>113</v>
      </c>
      <c r="L24" s="31" t="s">
        <v>113</v>
      </c>
      <c r="M24" s="32">
        <f t="shared" si="0"/>
        <v>3359</v>
      </c>
    </row>
    <row r="25" spans="1:13" x14ac:dyDescent="0.35">
      <c r="A25" t="s">
        <v>46</v>
      </c>
      <c r="B25" s="31" t="s">
        <v>113</v>
      </c>
      <c r="C25" s="31" t="s">
        <v>113</v>
      </c>
      <c r="D25" s="31" t="s">
        <v>113</v>
      </c>
      <c r="E25">
        <v>304</v>
      </c>
      <c r="F25" s="31" t="s">
        <v>113</v>
      </c>
      <c r="G25" s="31" t="s">
        <v>113</v>
      </c>
      <c r="H25" s="31" t="s">
        <v>113</v>
      </c>
      <c r="I25" s="31" t="s">
        <v>113</v>
      </c>
      <c r="J25" s="31" t="s">
        <v>113</v>
      </c>
      <c r="K25" s="31" t="s">
        <v>113</v>
      </c>
      <c r="L25" s="31" t="s">
        <v>113</v>
      </c>
      <c r="M25" s="32">
        <f t="shared" si="0"/>
        <v>304</v>
      </c>
    </row>
    <row r="26" spans="1:13" hidden="1" x14ac:dyDescent="0.35">
      <c r="A26" t="s">
        <v>53</v>
      </c>
      <c r="B26" s="31" t="s">
        <v>113</v>
      </c>
      <c r="C26" s="31" t="s">
        <v>113</v>
      </c>
      <c r="D26" s="31" t="s">
        <v>113</v>
      </c>
      <c r="E26" s="31" t="s">
        <v>113</v>
      </c>
      <c r="F26" s="31" t="s">
        <v>113</v>
      </c>
      <c r="G26" s="31" t="s">
        <v>113</v>
      </c>
      <c r="H26" s="31" t="s">
        <v>113</v>
      </c>
      <c r="I26" s="31" t="s">
        <v>113</v>
      </c>
      <c r="J26" s="31" t="s">
        <v>113</v>
      </c>
      <c r="K26" s="31" t="s">
        <v>113</v>
      </c>
      <c r="L26" s="31" t="s">
        <v>113</v>
      </c>
      <c r="M26" s="32">
        <f t="shared" si="0"/>
        <v>0</v>
      </c>
    </row>
    <row r="27" spans="1:13" x14ac:dyDescent="0.35">
      <c r="A27" t="s">
        <v>105</v>
      </c>
      <c r="B27" s="31" t="s">
        <v>113</v>
      </c>
      <c r="C27" s="31" t="s">
        <v>113</v>
      </c>
      <c r="D27" s="31" t="s">
        <v>113</v>
      </c>
      <c r="E27" s="31" t="s">
        <v>113</v>
      </c>
      <c r="F27">
        <v>2164</v>
      </c>
      <c r="G27">
        <v>3902</v>
      </c>
      <c r="H27">
        <v>3691</v>
      </c>
      <c r="I27">
        <v>2053</v>
      </c>
      <c r="J27">
        <v>1</v>
      </c>
      <c r="K27" s="31" t="s">
        <v>113</v>
      </c>
      <c r="L27" s="31" t="s">
        <v>113</v>
      </c>
      <c r="M27" s="32">
        <f t="shared" si="0"/>
        <v>11811</v>
      </c>
    </row>
    <row r="28" spans="1:13" x14ac:dyDescent="0.35">
      <c r="A28" t="s">
        <v>69</v>
      </c>
      <c r="B28" s="31" t="s">
        <v>113</v>
      </c>
      <c r="C28" s="31" t="s">
        <v>113</v>
      </c>
      <c r="D28" s="31" t="s">
        <v>113</v>
      </c>
      <c r="E28" s="31" t="s">
        <v>113</v>
      </c>
      <c r="F28">
        <v>5549</v>
      </c>
      <c r="G28" s="32">
        <v>6249</v>
      </c>
      <c r="H28" s="32">
        <v>2163</v>
      </c>
      <c r="I28" s="31" t="s">
        <v>113</v>
      </c>
      <c r="J28" s="31" t="s">
        <v>113</v>
      </c>
      <c r="K28" s="31" t="s">
        <v>113</v>
      </c>
      <c r="L28" s="31" t="s">
        <v>113</v>
      </c>
      <c r="M28" s="32">
        <f t="shared" si="0"/>
        <v>13961</v>
      </c>
    </row>
    <row r="29" spans="1:13" x14ac:dyDescent="0.35">
      <c r="A29" t="s">
        <v>57</v>
      </c>
      <c r="B29" s="31" t="s">
        <v>113</v>
      </c>
      <c r="C29" s="31" t="s">
        <v>113</v>
      </c>
      <c r="D29" s="31" t="s">
        <v>113</v>
      </c>
      <c r="E29" s="31" t="s">
        <v>113</v>
      </c>
      <c r="F29">
        <v>22</v>
      </c>
      <c r="G29">
        <v>91</v>
      </c>
      <c r="H29">
        <v>23</v>
      </c>
      <c r="I29" s="32">
        <v>30</v>
      </c>
      <c r="J29">
        <v>1</v>
      </c>
      <c r="K29" s="31" t="s">
        <v>113</v>
      </c>
      <c r="L29" s="31" t="s">
        <v>113</v>
      </c>
      <c r="M29" s="32">
        <f t="shared" si="0"/>
        <v>167</v>
      </c>
    </row>
    <row r="30" spans="1:13" x14ac:dyDescent="0.35">
      <c r="A30" t="s">
        <v>106</v>
      </c>
      <c r="B30" s="31" t="s">
        <v>113</v>
      </c>
      <c r="C30" s="31" t="s">
        <v>113</v>
      </c>
      <c r="D30" s="31" t="s">
        <v>113</v>
      </c>
      <c r="E30" s="31" t="s">
        <v>113</v>
      </c>
      <c r="F30">
        <v>635</v>
      </c>
      <c r="G30">
        <v>709</v>
      </c>
      <c r="H30">
        <v>472</v>
      </c>
      <c r="I30">
        <v>265</v>
      </c>
      <c r="J30">
        <v>4</v>
      </c>
      <c r="K30" s="31" t="s">
        <v>113</v>
      </c>
      <c r="L30" s="31" t="s">
        <v>113</v>
      </c>
      <c r="M30" s="32">
        <f t="shared" si="0"/>
        <v>2085</v>
      </c>
    </row>
    <row r="31" spans="1:13" x14ac:dyDescent="0.35">
      <c r="A31" t="s">
        <v>71</v>
      </c>
      <c r="B31" s="31" t="s">
        <v>113</v>
      </c>
      <c r="C31" s="31" t="s">
        <v>113</v>
      </c>
      <c r="D31" s="31" t="s">
        <v>113</v>
      </c>
      <c r="E31" s="31" t="s">
        <v>113</v>
      </c>
      <c r="F31">
        <v>401</v>
      </c>
      <c r="G31">
        <v>302</v>
      </c>
      <c r="H31">
        <v>220</v>
      </c>
      <c r="I31">
        <v>142</v>
      </c>
      <c r="J31">
        <v>11</v>
      </c>
      <c r="K31" s="31" t="s">
        <v>113</v>
      </c>
      <c r="L31" s="31" t="s">
        <v>113</v>
      </c>
      <c r="M31" s="32">
        <f t="shared" si="0"/>
        <v>1076</v>
      </c>
    </row>
    <row r="32" spans="1:13" x14ac:dyDescent="0.35">
      <c r="A32" t="s">
        <v>107</v>
      </c>
      <c r="B32" s="31" t="s">
        <v>113</v>
      </c>
      <c r="C32" s="31" t="s">
        <v>113</v>
      </c>
      <c r="D32" s="31" t="s">
        <v>113</v>
      </c>
      <c r="E32" s="31" t="s">
        <v>113</v>
      </c>
      <c r="F32">
        <v>17</v>
      </c>
      <c r="G32" s="31" t="s">
        <v>113</v>
      </c>
      <c r="H32" s="32">
        <v>42</v>
      </c>
      <c r="I32" s="31" t="s">
        <v>113</v>
      </c>
      <c r="J32" s="31" t="s">
        <v>113</v>
      </c>
      <c r="K32" s="31" t="s">
        <v>113</v>
      </c>
      <c r="L32" s="31" t="s">
        <v>113</v>
      </c>
      <c r="M32" s="32">
        <f t="shared" si="0"/>
        <v>59</v>
      </c>
    </row>
    <row r="33" spans="1:13" x14ac:dyDescent="0.35">
      <c r="A33" t="s">
        <v>63</v>
      </c>
      <c r="B33" s="31" t="s">
        <v>113</v>
      </c>
      <c r="C33" s="31" t="s">
        <v>113</v>
      </c>
      <c r="D33" s="31" t="s">
        <v>113</v>
      </c>
      <c r="E33" s="31" t="s">
        <v>113</v>
      </c>
      <c r="F33">
        <v>71</v>
      </c>
      <c r="G33">
        <v>898</v>
      </c>
      <c r="H33">
        <v>527</v>
      </c>
      <c r="I33" s="32">
        <v>261</v>
      </c>
      <c r="J33" s="31" t="s">
        <v>113</v>
      </c>
      <c r="K33" s="31" t="s">
        <v>113</v>
      </c>
      <c r="L33" s="31" t="s">
        <v>113</v>
      </c>
      <c r="M33" s="32">
        <f t="shared" si="0"/>
        <v>1757</v>
      </c>
    </row>
    <row r="34" spans="1:13" x14ac:dyDescent="0.35">
      <c r="A34" t="s">
        <v>108</v>
      </c>
      <c r="B34" s="31" t="s">
        <v>113</v>
      </c>
      <c r="C34" s="31" t="s">
        <v>113</v>
      </c>
      <c r="D34" s="31" t="s">
        <v>113</v>
      </c>
      <c r="E34" s="31" t="s">
        <v>113</v>
      </c>
      <c r="F34">
        <v>247</v>
      </c>
      <c r="G34">
        <v>436</v>
      </c>
      <c r="H34">
        <v>464</v>
      </c>
      <c r="I34" s="32">
        <v>363</v>
      </c>
      <c r="J34">
        <v>1</v>
      </c>
      <c r="K34" s="31" t="s">
        <v>113</v>
      </c>
      <c r="L34" s="31" t="s">
        <v>113</v>
      </c>
      <c r="M34" s="32">
        <f t="shared" si="0"/>
        <v>1511</v>
      </c>
    </row>
    <row r="35" spans="1:13" x14ac:dyDescent="0.35">
      <c r="A35" t="s">
        <v>83</v>
      </c>
      <c r="B35" s="31" t="s">
        <v>113</v>
      </c>
      <c r="C35" s="31" t="s">
        <v>113</v>
      </c>
      <c r="D35" s="31" t="s">
        <v>113</v>
      </c>
      <c r="E35" s="31" t="s">
        <v>113</v>
      </c>
      <c r="F35">
        <v>134</v>
      </c>
      <c r="G35">
        <v>60</v>
      </c>
      <c r="H35" s="32">
        <v>21</v>
      </c>
      <c r="I35" s="31"/>
      <c r="J35">
        <v>1</v>
      </c>
      <c r="K35" s="31" t="s">
        <v>113</v>
      </c>
      <c r="L35" s="31" t="s">
        <v>113</v>
      </c>
      <c r="M35" s="32">
        <f t="shared" si="0"/>
        <v>216</v>
      </c>
    </row>
    <row r="36" spans="1:13" x14ac:dyDescent="0.35">
      <c r="A36" t="s">
        <v>109</v>
      </c>
      <c r="B36" s="31" t="s">
        <v>113</v>
      </c>
      <c r="C36" s="31" t="s">
        <v>113</v>
      </c>
      <c r="D36" s="31" t="s">
        <v>113</v>
      </c>
      <c r="E36" s="31" t="s">
        <v>113</v>
      </c>
      <c r="F36">
        <v>10244</v>
      </c>
      <c r="G36">
        <v>8188</v>
      </c>
      <c r="H36">
        <v>4577</v>
      </c>
      <c r="I36">
        <v>2237</v>
      </c>
      <c r="J36">
        <v>4</v>
      </c>
      <c r="K36" s="31" t="s">
        <v>113</v>
      </c>
      <c r="L36" s="31" t="s">
        <v>113</v>
      </c>
      <c r="M36" s="32">
        <f t="shared" si="0"/>
        <v>25250</v>
      </c>
    </row>
    <row r="37" spans="1:13" x14ac:dyDescent="0.35">
      <c r="A37" t="s">
        <v>73</v>
      </c>
      <c r="B37" s="31" t="s">
        <v>113</v>
      </c>
      <c r="C37" s="31" t="s">
        <v>113</v>
      </c>
      <c r="D37" s="31" t="s">
        <v>113</v>
      </c>
      <c r="E37" s="31" t="s">
        <v>113</v>
      </c>
      <c r="F37">
        <v>4303</v>
      </c>
      <c r="G37">
        <v>10082</v>
      </c>
      <c r="H37" s="32">
        <v>7302</v>
      </c>
      <c r="I37">
        <v>3544</v>
      </c>
      <c r="J37" s="32">
        <v>3</v>
      </c>
      <c r="K37" s="31" t="s">
        <v>113</v>
      </c>
      <c r="L37" s="31" t="s">
        <v>113</v>
      </c>
      <c r="M37" s="32">
        <f t="shared" si="0"/>
        <v>25234</v>
      </c>
    </row>
    <row r="38" spans="1:13" hidden="1" x14ac:dyDescent="0.35">
      <c r="A38" t="s">
        <v>68</v>
      </c>
      <c r="B38" s="31" t="s">
        <v>113</v>
      </c>
      <c r="C38" s="31" t="s">
        <v>113</v>
      </c>
      <c r="D38" s="31" t="s">
        <v>113</v>
      </c>
      <c r="E38" s="31" t="s">
        <v>113</v>
      </c>
      <c r="F38" s="31" t="s">
        <v>113</v>
      </c>
      <c r="G38" s="31" t="s">
        <v>113</v>
      </c>
      <c r="H38" s="31" t="s">
        <v>113</v>
      </c>
      <c r="I38" s="31" t="s">
        <v>113</v>
      </c>
      <c r="J38" s="31" t="s">
        <v>113</v>
      </c>
      <c r="K38" s="31" t="s">
        <v>113</v>
      </c>
      <c r="L38" s="31" t="s">
        <v>113</v>
      </c>
      <c r="M38" s="32">
        <f t="shared" si="0"/>
        <v>0</v>
      </c>
    </row>
    <row r="39" spans="1:13" x14ac:dyDescent="0.35">
      <c r="A39" t="s">
        <v>70</v>
      </c>
      <c r="B39" s="31" t="s">
        <v>113</v>
      </c>
      <c r="C39" s="31" t="s">
        <v>113</v>
      </c>
      <c r="D39" s="31" t="s">
        <v>113</v>
      </c>
      <c r="E39" s="31" t="s">
        <v>113</v>
      </c>
      <c r="F39" s="31" t="s">
        <v>113</v>
      </c>
      <c r="G39" s="32">
        <v>753</v>
      </c>
      <c r="H39">
        <v>1645</v>
      </c>
      <c r="I39" s="31" t="s">
        <v>113</v>
      </c>
      <c r="J39">
        <v>1</v>
      </c>
      <c r="K39" s="31" t="s">
        <v>113</v>
      </c>
      <c r="L39" s="31" t="s">
        <v>113</v>
      </c>
      <c r="M39" s="32">
        <f t="shared" si="0"/>
        <v>2399</v>
      </c>
    </row>
    <row r="40" spans="1:13" x14ac:dyDescent="0.35">
      <c r="A40" t="s">
        <v>72</v>
      </c>
      <c r="B40" s="31" t="s">
        <v>113</v>
      </c>
      <c r="C40" s="31" t="s">
        <v>113</v>
      </c>
      <c r="D40" s="31" t="s">
        <v>113</v>
      </c>
      <c r="E40" s="31" t="s">
        <v>113</v>
      </c>
      <c r="F40" s="31" t="s">
        <v>113</v>
      </c>
      <c r="G40">
        <v>322</v>
      </c>
      <c r="H40">
        <v>224</v>
      </c>
      <c r="I40">
        <v>137</v>
      </c>
      <c r="J40">
        <v>1</v>
      </c>
      <c r="K40" s="31" t="s">
        <v>113</v>
      </c>
      <c r="L40" s="31" t="s">
        <v>113</v>
      </c>
      <c r="M40" s="32">
        <f t="shared" si="0"/>
        <v>684</v>
      </c>
    </row>
    <row r="41" spans="1:13" x14ac:dyDescent="0.35">
      <c r="A41" t="s">
        <v>74</v>
      </c>
      <c r="B41" s="31" t="s">
        <v>113</v>
      </c>
      <c r="C41" s="31" t="s">
        <v>113</v>
      </c>
      <c r="D41" s="31" t="s">
        <v>113</v>
      </c>
      <c r="E41" s="31" t="s">
        <v>113</v>
      </c>
      <c r="F41" s="31" t="s">
        <v>113</v>
      </c>
      <c r="G41" s="32">
        <v>1398</v>
      </c>
      <c r="H41">
        <v>5449</v>
      </c>
      <c r="I41" s="32">
        <v>2202</v>
      </c>
      <c r="J41">
        <v>1</v>
      </c>
      <c r="K41" s="31" t="s">
        <v>113</v>
      </c>
      <c r="L41" s="31" t="s">
        <v>113</v>
      </c>
      <c r="M41" s="32">
        <f t="shared" si="0"/>
        <v>9050</v>
      </c>
    </row>
    <row r="42" spans="1:13" x14ac:dyDescent="0.35">
      <c r="A42" t="s">
        <v>75</v>
      </c>
      <c r="B42" s="31" t="s">
        <v>113</v>
      </c>
      <c r="C42" s="31" t="s">
        <v>113</v>
      </c>
      <c r="D42" s="31" t="s">
        <v>113</v>
      </c>
      <c r="E42" s="31" t="s">
        <v>113</v>
      </c>
      <c r="F42" s="31" t="s">
        <v>113</v>
      </c>
      <c r="G42" s="31" t="s">
        <v>113</v>
      </c>
      <c r="H42">
        <v>1852</v>
      </c>
      <c r="I42" s="32">
        <v>1269</v>
      </c>
      <c r="J42" s="31" t="s">
        <v>113</v>
      </c>
      <c r="K42" s="31" t="s">
        <v>113</v>
      </c>
      <c r="L42" s="31" t="s">
        <v>113</v>
      </c>
      <c r="M42" s="32">
        <f t="shared" si="0"/>
        <v>3121</v>
      </c>
    </row>
    <row r="43" spans="1:13" x14ac:dyDescent="0.35">
      <c r="A43" t="s">
        <v>76</v>
      </c>
      <c r="B43" s="31" t="s">
        <v>113</v>
      </c>
      <c r="C43" s="31" t="s">
        <v>113</v>
      </c>
      <c r="D43" s="31" t="s">
        <v>113</v>
      </c>
      <c r="E43" s="31" t="s">
        <v>113</v>
      </c>
      <c r="F43" s="31" t="s">
        <v>113</v>
      </c>
      <c r="G43" s="31" t="s">
        <v>113</v>
      </c>
      <c r="H43" s="32">
        <v>2346</v>
      </c>
      <c r="I43">
        <v>1829</v>
      </c>
      <c r="J43" s="31" t="s">
        <v>113</v>
      </c>
      <c r="K43" s="31" t="s">
        <v>113</v>
      </c>
      <c r="L43" s="31" t="s">
        <v>113</v>
      </c>
      <c r="M43" s="32">
        <f t="shared" si="0"/>
        <v>4175</v>
      </c>
    </row>
    <row r="44" spans="1:13" x14ac:dyDescent="0.35">
      <c r="A44" t="s">
        <v>77</v>
      </c>
      <c r="B44" s="31" t="s">
        <v>113</v>
      </c>
      <c r="C44" s="31" t="s">
        <v>113</v>
      </c>
      <c r="D44" s="31" t="s">
        <v>113</v>
      </c>
      <c r="E44" s="31" t="s">
        <v>113</v>
      </c>
      <c r="F44" s="31" t="s">
        <v>113</v>
      </c>
      <c r="G44" s="31" t="s">
        <v>113</v>
      </c>
      <c r="H44">
        <v>517</v>
      </c>
      <c r="I44">
        <v>806</v>
      </c>
      <c r="J44">
        <v>2</v>
      </c>
      <c r="K44">
        <v>1618</v>
      </c>
      <c r="L44" s="32">
        <v>241</v>
      </c>
      <c r="M44" s="32">
        <f t="shared" si="0"/>
        <v>3184</v>
      </c>
    </row>
    <row r="45" spans="1:13" x14ac:dyDescent="0.35">
      <c r="A45" t="s">
        <v>60</v>
      </c>
      <c r="B45" s="31" t="s">
        <v>113</v>
      </c>
      <c r="C45" s="31" t="s">
        <v>113</v>
      </c>
      <c r="D45" s="31" t="s">
        <v>113</v>
      </c>
      <c r="E45" s="31" t="s">
        <v>113</v>
      </c>
      <c r="F45" s="31" t="s">
        <v>113</v>
      </c>
      <c r="G45" s="31" t="s">
        <v>113</v>
      </c>
      <c r="H45" s="31" t="s">
        <v>113</v>
      </c>
      <c r="I45" s="31" t="s">
        <v>113</v>
      </c>
      <c r="J45">
        <v>4</v>
      </c>
      <c r="K45" s="31" t="s">
        <v>113</v>
      </c>
      <c r="L45" s="31" t="s">
        <v>113</v>
      </c>
      <c r="M45" s="32">
        <f t="shared" si="0"/>
        <v>4</v>
      </c>
    </row>
    <row r="46" spans="1:13" x14ac:dyDescent="0.35">
      <c r="A46" t="s">
        <v>78</v>
      </c>
      <c r="B46" s="31" t="s">
        <v>113</v>
      </c>
      <c r="C46" s="31" t="s">
        <v>113</v>
      </c>
      <c r="D46" s="31" t="s">
        <v>113</v>
      </c>
      <c r="E46" s="31" t="s">
        <v>113</v>
      </c>
      <c r="F46" s="31" t="s">
        <v>113</v>
      </c>
      <c r="G46" s="31" t="s">
        <v>113</v>
      </c>
      <c r="H46" s="32">
        <v>132</v>
      </c>
      <c r="I46">
        <v>367</v>
      </c>
      <c r="J46" s="31" t="s">
        <v>113</v>
      </c>
      <c r="K46" s="31" t="s">
        <v>113</v>
      </c>
      <c r="L46" s="31" t="s">
        <v>113</v>
      </c>
      <c r="M46" s="32">
        <f t="shared" si="0"/>
        <v>499</v>
      </c>
    </row>
    <row r="47" spans="1:13" x14ac:dyDescent="0.35">
      <c r="A47" t="s">
        <v>79</v>
      </c>
      <c r="B47" s="31" t="s">
        <v>113</v>
      </c>
      <c r="C47" s="31" t="s">
        <v>113</v>
      </c>
      <c r="D47" s="31" t="s">
        <v>113</v>
      </c>
      <c r="E47" s="31" t="s">
        <v>113</v>
      </c>
      <c r="F47" s="31" t="s">
        <v>113</v>
      </c>
      <c r="G47" s="31" t="s">
        <v>113</v>
      </c>
      <c r="H47" s="31" t="s">
        <v>113</v>
      </c>
      <c r="I47">
        <v>43</v>
      </c>
      <c r="J47">
        <v>1</v>
      </c>
      <c r="K47" s="31" t="s">
        <v>113</v>
      </c>
      <c r="L47" s="31" t="s">
        <v>113</v>
      </c>
      <c r="M47" s="32">
        <f t="shared" si="0"/>
        <v>44</v>
      </c>
    </row>
    <row r="48" spans="1:13" x14ac:dyDescent="0.35">
      <c r="A48" t="s">
        <v>81</v>
      </c>
      <c r="B48" s="31" t="s">
        <v>113</v>
      </c>
      <c r="C48" s="31" t="s">
        <v>113</v>
      </c>
      <c r="D48" s="31" t="s">
        <v>113</v>
      </c>
      <c r="E48" s="31" t="s">
        <v>113</v>
      </c>
      <c r="F48" s="31" t="s">
        <v>113</v>
      </c>
      <c r="G48" s="31" t="s">
        <v>113</v>
      </c>
      <c r="H48" s="31" t="s">
        <v>113</v>
      </c>
      <c r="I48">
        <v>32</v>
      </c>
      <c r="J48">
        <v>1</v>
      </c>
      <c r="K48" s="31" t="s">
        <v>113</v>
      </c>
      <c r="L48" s="31" t="s">
        <v>113</v>
      </c>
      <c r="M48" s="32">
        <f t="shared" si="0"/>
        <v>33</v>
      </c>
    </row>
    <row r="49" spans="1:13" x14ac:dyDescent="0.35">
      <c r="A49" t="s">
        <v>82</v>
      </c>
      <c r="B49" s="31" t="s">
        <v>113</v>
      </c>
      <c r="C49" s="31" t="s">
        <v>113</v>
      </c>
      <c r="D49" s="31" t="s">
        <v>113</v>
      </c>
      <c r="E49" s="31" t="s">
        <v>113</v>
      </c>
      <c r="F49" s="31" t="s">
        <v>113</v>
      </c>
      <c r="G49" s="31" t="s">
        <v>113</v>
      </c>
      <c r="H49" s="31" t="s">
        <v>113</v>
      </c>
      <c r="I49">
        <v>10</v>
      </c>
      <c r="J49" s="31" t="s">
        <v>113</v>
      </c>
      <c r="K49" s="31" t="s">
        <v>113</v>
      </c>
      <c r="L49" s="31" t="s">
        <v>113</v>
      </c>
      <c r="M49" s="32">
        <f t="shared" si="0"/>
        <v>10</v>
      </c>
    </row>
    <row r="50" spans="1:13" x14ac:dyDescent="0.35">
      <c r="A50" t="s">
        <v>80</v>
      </c>
      <c r="B50" s="31" t="s">
        <v>113</v>
      </c>
      <c r="C50" s="31" t="s">
        <v>113</v>
      </c>
      <c r="D50" s="31" t="s">
        <v>113</v>
      </c>
      <c r="E50" s="31" t="s">
        <v>113</v>
      </c>
      <c r="F50" s="31" t="s">
        <v>113</v>
      </c>
      <c r="G50" s="31" t="s">
        <v>113</v>
      </c>
      <c r="H50" s="31" t="s">
        <v>113</v>
      </c>
      <c r="I50" s="31" t="s">
        <v>113</v>
      </c>
      <c r="J50">
        <v>1</v>
      </c>
      <c r="K50" s="31" t="s">
        <v>113</v>
      </c>
      <c r="L50" s="31" t="s">
        <v>113</v>
      </c>
      <c r="M50" s="32">
        <f t="shared" si="0"/>
        <v>1</v>
      </c>
    </row>
    <row r="51" spans="1:13" x14ac:dyDescent="0.35">
      <c r="A51" t="s">
        <v>84</v>
      </c>
      <c r="B51" s="31" t="s">
        <v>113</v>
      </c>
      <c r="C51" s="31" t="s">
        <v>113</v>
      </c>
      <c r="D51" s="31" t="s">
        <v>113</v>
      </c>
      <c r="E51" s="31" t="s">
        <v>113</v>
      </c>
      <c r="F51" s="31" t="s">
        <v>113</v>
      </c>
      <c r="G51" s="31" t="s">
        <v>113</v>
      </c>
      <c r="H51" s="31" t="s">
        <v>113</v>
      </c>
      <c r="I51" s="31" t="s">
        <v>113</v>
      </c>
      <c r="J51" s="31" t="s">
        <v>113</v>
      </c>
      <c r="K51">
        <v>4824</v>
      </c>
      <c r="L51">
        <v>607</v>
      </c>
      <c r="M51" s="32">
        <f t="shared" si="0"/>
        <v>5431</v>
      </c>
    </row>
    <row r="52" spans="1:13" x14ac:dyDescent="0.35">
      <c r="A52" t="s">
        <v>85</v>
      </c>
      <c r="B52" s="31" t="s">
        <v>113</v>
      </c>
      <c r="C52" s="31" t="s">
        <v>113</v>
      </c>
      <c r="D52" s="31" t="s">
        <v>113</v>
      </c>
      <c r="E52" s="31" t="s">
        <v>113</v>
      </c>
      <c r="F52" s="31" t="s">
        <v>113</v>
      </c>
      <c r="G52" s="31" t="s">
        <v>113</v>
      </c>
      <c r="H52" s="31" t="s">
        <v>113</v>
      </c>
      <c r="I52" s="31" t="s">
        <v>113</v>
      </c>
      <c r="J52" s="31" t="s">
        <v>113</v>
      </c>
      <c r="K52">
        <v>3992</v>
      </c>
      <c r="L52">
        <v>223</v>
      </c>
      <c r="M52" s="32">
        <f t="shared" si="0"/>
        <v>4215</v>
      </c>
    </row>
    <row r="53" spans="1:13" x14ac:dyDescent="0.35">
      <c r="A53" t="s">
        <v>86</v>
      </c>
      <c r="B53" s="31" t="s">
        <v>113</v>
      </c>
      <c r="C53" s="31" t="s">
        <v>113</v>
      </c>
      <c r="D53" s="31" t="s">
        <v>113</v>
      </c>
      <c r="E53" s="31" t="s">
        <v>113</v>
      </c>
      <c r="F53" s="31" t="s">
        <v>113</v>
      </c>
      <c r="G53" s="31" t="s">
        <v>113</v>
      </c>
      <c r="H53" s="31" t="s">
        <v>113</v>
      </c>
      <c r="I53" s="31" t="s">
        <v>113</v>
      </c>
      <c r="J53" s="31" t="s">
        <v>113</v>
      </c>
      <c r="K53">
        <v>730</v>
      </c>
      <c r="L53">
        <v>260</v>
      </c>
      <c r="M53" s="32">
        <f t="shared" si="0"/>
        <v>990</v>
      </c>
    </row>
    <row r="54" spans="1:13" x14ac:dyDescent="0.35">
      <c r="A54" t="s">
        <v>87</v>
      </c>
      <c r="B54" s="31" t="s">
        <v>113</v>
      </c>
      <c r="C54" s="31" t="s">
        <v>113</v>
      </c>
      <c r="D54" s="31" t="s">
        <v>113</v>
      </c>
      <c r="E54" s="31" t="s">
        <v>113</v>
      </c>
      <c r="F54" s="31" t="s">
        <v>113</v>
      </c>
      <c r="G54" s="31" t="s">
        <v>113</v>
      </c>
      <c r="H54" s="31" t="s">
        <v>113</v>
      </c>
      <c r="I54" s="31" t="s">
        <v>113</v>
      </c>
      <c r="J54" s="31" t="s">
        <v>113</v>
      </c>
      <c r="K54">
        <v>3365</v>
      </c>
      <c r="L54">
        <v>844</v>
      </c>
      <c r="M54" s="32">
        <f t="shared" si="0"/>
        <v>4209</v>
      </c>
    </row>
    <row r="55" spans="1:13" x14ac:dyDescent="0.35">
      <c r="A55" t="s">
        <v>88</v>
      </c>
      <c r="B55" s="31" t="s">
        <v>113</v>
      </c>
      <c r="C55" s="31" t="s">
        <v>113</v>
      </c>
      <c r="D55" s="31" t="s">
        <v>113</v>
      </c>
      <c r="E55" s="31" t="s">
        <v>113</v>
      </c>
      <c r="F55" s="31" t="s">
        <v>113</v>
      </c>
      <c r="G55" s="31" t="s">
        <v>113</v>
      </c>
      <c r="H55" s="31" t="s">
        <v>113</v>
      </c>
      <c r="I55" s="31" t="s">
        <v>113</v>
      </c>
      <c r="J55" s="31" t="s">
        <v>113</v>
      </c>
      <c r="K55">
        <v>2279</v>
      </c>
      <c r="L55">
        <v>440</v>
      </c>
      <c r="M55" s="32">
        <f t="shared" si="0"/>
        <v>2719</v>
      </c>
    </row>
    <row r="56" spans="1:13" x14ac:dyDescent="0.35">
      <c r="A56" t="s">
        <v>89</v>
      </c>
      <c r="B56" s="31" t="s">
        <v>113</v>
      </c>
      <c r="C56" s="31" t="s">
        <v>113</v>
      </c>
      <c r="D56" s="31" t="s">
        <v>113</v>
      </c>
      <c r="E56" s="31" t="s">
        <v>113</v>
      </c>
      <c r="F56" s="31" t="s">
        <v>113</v>
      </c>
      <c r="G56" s="31" t="s">
        <v>113</v>
      </c>
      <c r="H56" s="31" t="s">
        <v>113</v>
      </c>
      <c r="I56" s="31" t="s">
        <v>113</v>
      </c>
      <c r="J56" s="31" t="s">
        <v>113</v>
      </c>
      <c r="K56">
        <v>2724</v>
      </c>
      <c r="L56">
        <v>311</v>
      </c>
      <c r="M56" s="32">
        <f t="shared" si="0"/>
        <v>3035</v>
      </c>
    </row>
    <row r="57" spans="1:13" x14ac:dyDescent="0.35">
      <c r="A57" t="s">
        <v>90</v>
      </c>
      <c r="B57" s="31" t="s">
        <v>113</v>
      </c>
      <c r="C57" s="31" t="s">
        <v>113</v>
      </c>
      <c r="D57" s="31" t="s">
        <v>113</v>
      </c>
      <c r="E57" s="31" t="s">
        <v>113</v>
      </c>
      <c r="F57" s="31" t="s">
        <v>113</v>
      </c>
      <c r="G57" s="31" t="s">
        <v>113</v>
      </c>
      <c r="H57" s="31" t="s">
        <v>113</v>
      </c>
      <c r="I57" s="31" t="s">
        <v>113</v>
      </c>
      <c r="J57" s="31" t="s">
        <v>113</v>
      </c>
      <c r="K57">
        <v>1279</v>
      </c>
      <c r="L57">
        <v>215</v>
      </c>
      <c r="M57" s="32">
        <f t="shared" si="0"/>
        <v>1494</v>
      </c>
    </row>
    <row r="58" spans="1:13" x14ac:dyDescent="0.35"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</row>
  </sheetData>
  <autoFilter ref="A1:M57" xr:uid="{1EE5E993-9FA4-481F-BFF9-DB99D76F2DD7}">
    <filterColumn colId="12">
      <filters>
        <filter val="1"/>
        <filter val="10"/>
        <filter val="1076"/>
        <filter val="1160"/>
        <filter val="11811"/>
        <filter val="13961"/>
        <filter val="144"/>
        <filter val="1494"/>
        <filter val="1511"/>
        <filter val="167"/>
        <filter val="1714"/>
        <filter val="1757"/>
        <filter val="1847"/>
        <filter val="20"/>
        <filter val="2085"/>
        <filter val="216"/>
        <filter val="2283"/>
        <filter val="232"/>
        <filter val="2399"/>
        <filter val="2480"/>
        <filter val="25234"/>
        <filter val="25250"/>
        <filter val="2719"/>
        <filter val="3035"/>
        <filter val="304"/>
        <filter val="3118"/>
        <filter val="3121"/>
        <filter val="3184"/>
        <filter val="33"/>
        <filter val="3359"/>
        <filter val="3536"/>
        <filter val="3793"/>
        <filter val="4"/>
        <filter val="4175"/>
        <filter val="4209"/>
        <filter val="421"/>
        <filter val="4215"/>
        <filter val="44"/>
        <filter val="499"/>
        <filter val="5431"/>
        <filter val="5894"/>
        <filter val="59"/>
        <filter val="638"/>
        <filter val="668"/>
        <filter val="684"/>
        <filter val="76"/>
        <filter val="9050"/>
        <filter val="990"/>
      </filters>
    </filterColumn>
  </autoFilter>
  <conditionalFormatting sqref="A151:A1048576 A2:A50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1B4C7-63C4-4778-BD4A-33239D1D2875}">
  <dimension ref="A1:M57"/>
  <sheetViews>
    <sheetView workbookViewId="0">
      <selection activeCell="B8" sqref="B8"/>
    </sheetView>
  </sheetViews>
  <sheetFormatPr defaultRowHeight="14.5" x14ac:dyDescent="0.35"/>
  <cols>
    <col min="1" max="1" width="23.08984375" customWidth="1"/>
    <col min="2" max="12" width="8.7265625" customWidth="1"/>
    <col min="13" max="13" width="16.36328125" customWidth="1"/>
  </cols>
  <sheetData>
    <row r="1" spans="1:13" x14ac:dyDescent="0.35">
      <c r="A1" t="s">
        <v>110</v>
      </c>
      <c r="B1" s="33">
        <v>2013</v>
      </c>
      <c r="C1" s="33">
        <v>2014</v>
      </c>
      <c r="D1" s="33">
        <v>2015</v>
      </c>
      <c r="E1" s="33">
        <v>2016</v>
      </c>
      <c r="F1" s="33">
        <v>2017</v>
      </c>
      <c r="G1" s="33">
        <v>2018</v>
      </c>
      <c r="H1" s="33">
        <v>2019</v>
      </c>
      <c r="I1" s="33">
        <v>2020</v>
      </c>
      <c r="J1" s="33">
        <v>2021</v>
      </c>
      <c r="K1" s="33">
        <v>2025</v>
      </c>
      <c r="L1" s="33" t="s">
        <v>111</v>
      </c>
      <c r="M1" t="s">
        <v>112</v>
      </c>
    </row>
    <row r="2" spans="1:13" x14ac:dyDescent="0.35">
      <c r="A2" t="s">
        <v>91</v>
      </c>
      <c r="B2">
        <f>_xlfn.XLOOKUP(A2,'2013'!A:A,'2013'!N:N,"-")</f>
        <v>935</v>
      </c>
      <c r="C2">
        <f>_xlfn.XLOOKUP(A2,'2014'!A:A,'2014'!N:N,"-")</f>
        <v>2313</v>
      </c>
      <c r="D2">
        <f>_xlfn.XLOOKUP(A2,'2015'!A:A,'2015'!N:N,"-")</f>
        <v>1505</v>
      </c>
      <c r="E2">
        <f>_xlfn.XLOOKUP(A2,'2016'!A:A,'2016'!N:N,"-")</f>
        <v>4</v>
      </c>
      <c r="F2">
        <f>_xlfn.XLOOKUP(A2,'2017'!A:A,'2017'!N:N,"-")</f>
        <v>1</v>
      </c>
      <c r="G2" t="str">
        <f>_xlfn.XLOOKUP(A2,'2018'!A:A,'2018'!N:N,"-")</f>
        <v>-</v>
      </c>
      <c r="H2" t="str">
        <f>_xlfn.XLOOKUP(A2,'2019'!A:A,'2019'!N:N,"-")</f>
        <v>-</v>
      </c>
      <c r="I2" t="str">
        <f>_xlfn.XLOOKUP(A2,'2020'!A:A,'2020'!N:N,"-")</f>
        <v>-</v>
      </c>
      <c r="J2" t="str">
        <f>_xlfn.XLOOKUP(A2,'2021'!A:A,'2021'!N:N,"-")</f>
        <v>-</v>
      </c>
      <c r="K2" t="str">
        <f>_xlfn.XLOOKUP(A2,'2025'!A:A,'2025'!N:N,"-")</f>
        <v>-</v>
      </c>
      <c r="L2" t="str">
        <f>_xlfn.XLOOKUP(A2,'2026'!A:A,'2026'!N:N,"-")</f>
        <v>-</v>
      </c>
      <c r="M2" s="34">
        <f>SUM(B2:L2)</f>
        <v>4758</v>
      </c>
    </row>
    <row r="3" spans="1:13" x14ac:dyDescent="0.35">
      <c r="A3" t="s">
        <v>92</v>
      </c>
      <c r="B3">
        <f>_xlfn.XLOOKUP(A3,'2013'!A:A,'2013'!N:N,"-")</f>
        <v>982</v>
      </c>
      <c r="C3">
        <f>_xlfn.XLOOKUP(A3,'2014'!A:A,'2014'!N:N,"-")</f>
        <v>2569</v>
      </c>
      <c r="D3">
        <f>_xlfn.XLOOKUP(A3,'2015'!A:A,'2015'!N:N,"-")</f>
        <v>1557</v>
      </c>
      <c r="E3">
        <f>_xlfn.XLOOKUP(A3,'2016'!A:A,'2016'!N:N,"-")</f>
        <v>4</v>
      </c>
      <c r="F3" t="str">
        <f>_xlfn.XLOOKUP(A3,'2017'!A:A,'2017'!N:N,"-")</f>
        <v>-</v>
      </c>
      <c r="G3" t="str">
        <f>_xlfn.XLOOKUP(A3,'2018'!A:A,'2018'!N:N,"-")</f>
        <v>-</v>
      </c>
      <c r="H3" t="str">
        <f>_xlfn.XLOOKUP(A3,'2019'!A:A,'2019'!N:N,"-")</f>
        <v>-</v>
      </c>
      <c r="I3" t="str">
        <f>_xlfn.XLOOKUP(A3,'2020'!A:A,'2020'!N:N,"-")</f>
        <v>-</v>
      </c>
      <c r="J3" t="str">
        <f>_xlfn.XLOOKUP(A3,'2021'!A:A,'2021'!N:N,"-")</f>
        <v>-</v>
      </c>
      <c r="K3" t="str">
        <f>_xlfn.XLOOKUP(A3,'2025'!A:A,'2025'!N:N,"-")</f>
        <v>-</v>
      </c>
      <c r="L3" t="str">
        <f>_xlfn.XLOOKUP(A3,'2026'!A:A,'2026'!N:N,"-")</f>
        <v>-</v>
      </c>
      <c r="M3" s="34">
        <f t="shared" ref="M3:M57" si="0">SUM(B3:L3)</f>
        <v>5112</v>
      </c>
    </row>
    <row r="4" spans="1:13" x14ac:dyDescent="0.35">
      <c r="A4" t="s">
        <v>93</v>
      </c>
      <c r="B4">
        <f>_xlfn.XLOOKUP(A4,'2013'!A:A,'2013'!N:N,"-")</f>
        <v>144</v>
      </c>
      <c r="C4">
        <f>_xlfn.XLOOKUP(A4,'2014'!A:A,'2014'!N:N,"-")</f>
        <v>313</v>
      </c>
      <c r="D4">
        <f>_xlfn.XLOOKUP(A4,'2015'!A:A,'2015'!N:N,"-")</f>
        <v>195</v>
      </c>
      <c r="E4">
        <f>_xlfn.XLOOKUP(A4,'2016'!A:A,'2016'!N:N,"-")</f>
        <v>3</v>
      </c>
      <c r="F4" t="str">
        <f>_xlfn.XLOOKUP(A4,'2017'!A:A,'2017'!N:N,"-")</f>
        <v>-</v>
      </c>
      <c r="G4" t="str">
        <f>_xlfn.XLOOKUP(A4,'2018'!A:A,'2018'!N:N,"-")</f>
        <v>-</v>
      </c>
      <c r="H4" t="str">
        <f>_xlfn.XLOOKUP(A4,'2019'!A:A,'2019'!N:N,"-")</f>
        <v>-</v>
      </c>
      <c r="I4" t="str">
        <f>_xlfn.XLOOKUP(A4,'2020'!A:A,'2020'!N:N,"-")</f>
        <v>-</v>
      </c>
      <c r="J4" t="str">
        <f>_xlfn.XLOOKUP(A4,'2021'!A:A,'2021'!N:N,"-")</f>
        <v>-</v>
      </c>
      <c r="K4" t="str">
        <f>_xlfn.XLOOKUP(A4,'2025'!A:A,'2025'!N:N,"-")</f>
        <v>-</v>
      </c>
      <c r="L4" t="str">
        <f>_xlfn.XLOOKUP(A4,'2026'!A:A,'2026'!N:N,"-")</f>
        <v>-</v>
      </c>
      <c r="M4" s="34">
        <f t="shared" si="0"/>
        <v>655</v>
      </c>
    </row>
    <row r="5" spans="1:13" x14ac:dyDescent="0.35">
      <c r="A5" t="s">
        <v>94</v>
      </c>
      <c r="B5">
        <f>_xlfn.XLOOKUP(A5,'2013'!A:A,'2013'!N:N,"-")</f>
        <v>2061</v>
      </c>
      <c r="C5">
        <f>_xlfn.XLOOKUP(A5,'2014'!A:A,'2014'!N:N,"-")</f>
        <v>5195</v>
      </c>
      <c r="D5">
        <f>_xlfn.XLOOKUP(A5,'2015'!A:A,'2015'!N:N,"-")</f>
        <v>3257</v>
      </c>
      <c r="E5">
        <f>_xlfn.XLOOKUP(A5,'2016'!A:A,'2016'!N:N,"-")</f>
        <v>11</v>
      </c>
      <c r="F5" t="str">
        <f>_xlfn.XLOOKUP(A5,'2017'!A:A,'2017'!N:N,"-")</f>
        <v>-</v>
      </c>
      <c r="G5" t="str">
        <f>_xlfn.XLOOKUP(A5,'2018'!A:A,'2018'!N:N,"-")</f>
        <v>-</v>
      </c>
      <c r="H5" t="str">
        <f>_xlfn.XLOOKUP(A5,'2019'!A:A,'2019'!N:N,"-")</f>
        <v>-</v>
      </c>
      <c r="I5" t="str">
        <f>_xlfn.XLOOKUP(A5,'2020'!A:A,'2020'!N:N,"-")</f>
        <v>-</v>
      </c>
      <c r="J5" t="str">
        <f>_xlfn.XLOOKUP(A5,'2021'!A:A,'2021'!N:N,"-")</f>
        <v>-</v>
      </c>
      <c r="K5" t="str">
        <f>_xlfn.XLOOKUP(A5,'2025'!A:A,'2025'!N:N,"-")</f>
        <v>-</v>
      </c>
      <c r="L5" t="str">
        <f>_xlfn.XLOOKUP(A5,'2026'!A:A,'2026'!N:N,"-")</f>
        <v>-</v>
      </c>
      <c r="M5" s="34">
        <f t="shared" si="0"/>
        <v>10524</v>
      </c>
    </row>
    <row r="6" spans="1:13" x14ac:dyDescent="0.35">
      <c r="A6" t="s">
        <v>21</v>
      </c>
      <c r="B6">
        <f>_xlfn.XLOOKUP(A6,'2013'!A:A,'2013'!N:N,"-")</f>
        <v>9</v>
      </c>
      <c r="C6" t="str">
        <f>_xlfn.XLOOKUP(A6,'2014'!A:A,'2014'!N:N,"-")</f>
        <v>-</v>
      </c>
      <c r="D6" t="str">
        <f>_xlfn.XLOOKUP(A6,'2015'!A:A,'2015'!N:N,"-")</f>
        <v>-</v>
      </c>
      <c r="E6" t="str">
        <f>_xlfn.XLOOKUP(A6,'2016'!A:A,'2016'!N:N,"-")</f>
        <v>-</v>
      </c>
      <c r="F6" t="str">
        <f>_xlfn.XLOOKUP(A6,'2017'!A:A,'2017'!N:N,"-")</f>
        <v>-</v>
      </c>
      <c r="G6" t="str">
        <f>_xlfn.XLOOKUP(A6,'2018'!A:A,'2018'!N:N,"-")</f>
        <v>-</v>
      </c>
      <c r="H6" t="str">
        <f>_xlfn.XLOOKUP(A6,'2019'!A:A,'2019'!N:N,"-")</f>
        <v>-</v>
      </c>
      <c r="I6" t="str">
        <f>_xlfn.XLOOKUP(A6,'2020'!A:A,'2020'!N:N,"-")</f>
        <v>-</v>
      </c>
      <c r="J6" t="str">
        <f>_xlfn.XLOOKUP(A6,'2021'!A:A,'2021'!N:N,"-")</f>
        <v>-</v>
      </c>
      <c r="K6" t="str">
        <f>_xlfn.XLOOKUP(A6,'2025'!A:A,'2025'!N:N,"-")</f>
        <v>-</v>
      </c>
      <c r="L6" t="str">
        <f>_xlfn.XLOOKUP(A6,'2026'!A:A,'2026'!N:N,"-")</f>
        <v>-</v>
      </c>
      <c r="M6" s="34">
        <f t="shared" si="0"/>
        <v>9</v>
      </c>
    </row>
    <row r="7" spans="1:13" x14ac:dyDescent="0.35">
      <c r="A7" t="s">
        <v>22</v>
      </c>
      <c r="B7">
        <f>_xlfn.XLOOKUP(A7,'2013'!A:A,'2013'!N:N,"-")</f>
        <v>75</v>
      </c>
      <c r="C7">
        <f>_xlfn.XLOOKUP(A7,'2014'!A:A,'2014'!N:N,"-")</f>
        <v>322</v>
      </c>
      <c r="D7">
        <f>_xlfn.XLOOKUP(A7,'2015'!A:A,'2015'!N:N,"-")</f>
        <v>3</v>
      </c>
      <c r="E7" t="str">
        <f>_xlfn.XLOOKUP(A7,'2016'!A:A,'2016'!N:N,"-")</f>
        <v>-</v>
      </c>
      <c r="F7" t="str">
        <f>_xlfn.XLOOKUP(A7,'2017'!A:A,'2017'!N:N,"-")</f>
        <v>-</v>
      </c>
      <c r="G7" t="str">
        <f>_xlfn.XLOOKUP(A7,'2018'!A:A,'2018'!N:N,"-")</f>
        <v>-</v>
      </c>
      <c r="H7" t="str">
        <f>_xlfn.XLOOKUP(A7,'2019'!A:A,'2019'!N:N,"-")</f>
        <v>-</v>
      </c>
      <c r="I7" t="str">
        <f>_xlfn.XLOOKUP(A7,'2020'!A:A,'2020'!N:N,"-")</f>
        <v>-</v>
      </c>
      <c r="J7" t="str">
        <f>_xlfn.XLOOKUP(A7,'2021'!A:A,'2021'!N:N,"-")</f>
        <v>-</v>
      </c>
      <c r="K7" t="str">
        <f>_xlfn.XLOOKUP(A7,'2025'!A:A,'2025'!N:N,"-")</f>
        <v>-</v>
      </c>
      <c r="L7" t="str">
        <f>_xlfn.XLOOKUP(A7,'2026'!A:A,'2026'!N:N,"-")</f>
        <v>-</v>
      </c>
      <c r="M7" s="34">
        <f t="shared" si="0"/>
        <v>400</v>
      </c>
    </row>
    <row r="8" spans="1:13" x14ac:dyDescent="0.35">
      <c r="A8" t="s">
        <v>23</v>
      </c>
      <c r="B8">
        <f>_xlfn.XLOOKUP(A8,'2013'!A:A,'2013'!N:N,"-")</f>
        <v>168</v>
      </c>
      <c r="C8">
        <f>_xlfn.XLOOKUP(A8,'2014'!A:A,'2014'!N:N,"-")</f>
        <v>105</v>
      </c>
      <c r="D8">
        <f>_xlfn.XLOOKUP(A8,'2015'!A:A,'2015'!N:N,"-")</f>
        <v>1</v>
      </c>
      <c r="E8" t="str">
        <f>_xlfn.XLOOKUP(A8,'2016'!A:A,'2016'!N:N,"-")</f>
        <v>-</v>
      </c>
      <c r="F8" t="str">
        <f>_xlfn.XLOOKUP(A8,'2017'!A:A,'2017'!N:N,"-")</f>
        <v>-</v>
      </c>
      <c r="G8" t="str">
        <f>_xlfn.XLOOKUP(A8,'2018'!A:A,'2018'!N:N,"-")</f>
        <v>-</v>
      </c>
      <c r="H8" t="str">
        <f>_xlfn.XLOOKUP(A8,'2019'!A:A,'2019'!N:N,"-")</f>
        <v>-</v>
      </c>
      <c r="I8" t="str">
        <f>_xlfn.XLOOKUP(A8,'2020'!A:A,'2020'!N:N,"-")</f>
        <v>-</v>
      </c>
      <c r="J8" t="str">
        <f>_xlfn.XLOOKUP(A8,'2021'!A:A,'2021'!N:N,"-")</f>
        <v>-</v>
      </c>
      <c r="K8" t="str">
        <f>_xlfn.XLOOKUP(A8,'2025'!A:A,'2025'!N:N,"-")</f>
        <v>-</v>
      </c>
      <c r="L8" t="str">
        <f>_xlfn.XLOOKUP(A8,'2026'!A:A,'2026'!N:N,"-")</f>
        <v>-</v>
      </c>
      <c r="M8" s="34">
        <f t="shared" si="0"/>
        <v>274</v>
      </c>
    </row>
    <row r="9" spans="1:13" x14ac:dyDescent="0.35">
      <c r="A9" t="s">
        <v>25</v>
      </c>
      <c r="B9">
        <f>_xlfn.XLOOKUP(A9,'2013'!A:A,'2013'!N:N,"-")</f>
        <v>2</v>
      </c>
      <c r="C9">
        <f>_xlfn.XLOOKUP(A9,'2014'!A:A,'2014'!N:N,"-")</f>
        <v>5</v>
      </c>
      <c r="D9">
        <f>_xlfn.XLOOKUP(A9,'2015'!A:A,'2015'!N:N,"-")</f>
        <v>2</v>
      </c>
      <c r="E9" t="str">
        <f>_xlfn.XLOOKUP(A9,'2016'!A:A,'2016'!N:N,"-")</f>
        <v>-</v>
      </c>
      <c r="F9" t="str">
        <f>_xlfn.XLOOKUP(A9,'2017'!A:A,'2017'!N:N,"-")</f>
        <v>-</v>
      </c>
      <c r="G9" t="str">
        <f>_xlfn.XLOOKUP(A9,'2018'!A:A,'2018'!N:N,"-")</f>
        <v>-</v>
      </c>
      <c r="H9" t="str">
        <f>_xlfn.XLOOKUP(A9,'2019'!A:A,'2019'!N:N,"-")</f>
        <v>-</v>
      </c>
      <c r="I9" t="str">
        <f>_xlfn.XLOOKUP(A9,'2020'!A:A,'2020'!N:N,"-")</f>
        <v>-</v>
      </c>
      <c r="J9" t="str">
        <f>_xlfn.XLOOKUP(A9,'2021'!A:A,'2021'!N:N,"-")</f>
        <v>-</v>
      </c>
      <c r="K9" t="str">
        <f>_xlfn.XLOOKUP(A9,'2025'!A:A,'2025'!N:N,"-")</f>
        <v>-</v>
      </c>
      <c r="L9" t="str">
        <f>_xlfn.XLOOKUP(A9,'2026'!A:A,'2026'!N:N,"-")</f>
        <v>-</v>
      </c>
      <c r="M9" s="34">
        <f t="shared" si="0"/>
        <v>9</v>
      </c>
    </row>
    <row r="10" spans="1:13" x14ac:dyDescent="0.35">
      <c r="A10" t="s">
        <v>26</v>
      </c>
      <c r="B10">
        <f>_xlfn.XLOOKUP(A10,'2013'!A:A,'2013'!N:N,"-")</f>
        <v>25</v>
      </c>
      <c r="C10">
        <f>_xlfn.XLOOKUP(A10,'2014'!A:A,'2014'!N:N,"-")</f>
        <v>3</v>
      </c>
      <c r="D10" t="str">
        <f>_xlfn.XLOOKUP(A10,'2015'!A:A,'2015'!N:N,"-")</f>
        <v>-</v>
      </c>
      <c r="E10" t="str">
        <f>_xlfn.XLOOKUP(A10,'2016'!A:A,'2016'!N:N,"-")</f>
        <v>-</v>
      </c>
      <c r="F10" t="str">
        <f>_xlfn.XLOOKUP(A10,'2017'!A:A,'2017'!N:N,"-")</f>
        <v>-</v>
      </c>
      <c r="G10" t="str">
        <f>_xlfn.XLOOKUP(A10,'2018'!A:A,'2018'!N:N,"-")</f>
        <v>-</v>
      </c>
      <c r="H10" t="str">
        <f>_xlfn.XLOOKUP(A10,'2019'!A:A,'2019'!N:N,"-")</f>
        <v>-</v>
      </c>
      <c r="I10" t="str">
        <f>_xlfn.XLOOKUP(A10,'2020'!A:A,'2020'!N:N,"-")</f>
        <v>-</v>
      </c>
      <c r="J10" t="str">
        <f>_xlfn.XLOOKUP(A10,'2021'!A:A,'2021'!N:N,"-")</f>
        <v>-</v>
      </c>
      <c r="K10" t="str">
        <f>_xlfn.XLOOKUP(A10,'2025'!A:A,'2025'!N:N,"-")</f>
        <v>-</v>
      </c>
      <c r="L10" t="str">
        <f>_xlfn.XLOOKUP(A10,'2026'!A:A,'2026'!N:N,"-")</f>
        <v>-</v>
      </c>
      <c r="M10" s="34">
        <f t="shared" si="0"/>
        <v>28</v>
      </c>
    </row>
    <row r="11" spans="1:13" x14ac:dyDescent="0.35">
      <c r="A11" t="s">
        <v>95</v>
      </c>
      <c r="B11" t="str">
        <f>_xlfn.XLOOKUP(A11,'2013'!A:A,'2013'!N:N,"-")</f>
        <v>-</v>
      </c>
      <c r="C11">
        <f>_xlfn.XLOOKUP(A11,'2014'!A:A,'2014'!N:N,"-")</f>
        <v>3</v>
      </c>
      <c r="D11">
        <f>_xlfn.XLOOKUP(A11,'2015'!A:A,'2015'!N:N,"-")</f>
        <v>51</v>
      </c>
      <c r="E11" t="str">
        <f>_xlfn.XLOOKUP(A11,'2016'!A:A,'2016'!N:N,"-")</f>
        <v>-</v>
      </c>
      <c r="F11">
        <f>_xlfn.XLOOKUP(A11,'2017'!A:A,'2017'!N:N,"-")</f>
        <v>2</v>
      </c>
      <c r="G11">
        <f>_xlfn.XLOOKUP(A11,'2018'!A:A,'2018'!N:N,"-")</f>
        <v>4</v>
      </c>
      <c r="H11">
        <f>_xlfn.XLOOKUP(A11,'2019'!A:A,'2019'!N:N,"-")</f>
        <v>2</v>
      </c>
      <c r="I11">
        <f>_xlfn.XLOOKUP(A11,'2020'!A:A,'2020'!N:N,"-")</f>
        <v>1</v>
      </c>
      <c r="J11" t="str">
        <f>_xlfn.XLOOKUP(A11,'2021'!A:A,'2021'!N:N,"-")</f>
        <v>-</v>
      </c>
      <c r="K11" t="str">
        <f>_xlfn.XLOOKUP(A11,'2025'!A:A,'2025'!N:N,"-")</f>
        <v>-</v>
      </c>
      <c r="L11" t="str">
        <f>_xlfn.XLOOKUP(A11,'2026'!A:A,'2026'!N:N,"-")</f>
        <v>-</v>
      </c>
      <c r="M11" s="34">
        <f t="shared" si="0"/>
        <v>63</v>
      </c>
    </row>
    <row r="12" spans="1:13" x14ac:dyDescent="0.35">
      <c r="A12" t="s">
        <v>96</v>
      </c>
      <c r="B12">
        <f>_xlfn.XLOOKUP(A12,'2013'!A:A,'2013'!N:N,"-")</f>
        <v>2</v>
      </c>
      <c r="C12" t="str">
        <f>_xlfn.XLOOKUP(A12,'2014'!A:A,'2014'!N:N,"-")</f>
        <v>-</v>
      </c>
      <c r="D12" t="str">
        <f>_xlfn.XLOOKUP(A12,'2015'!A:A,'2015'!N:N,"-")</f>
        <v>-</v>
      </c>
      <c r="E12" t="str">
        <f>_xlfn.XLOOKUP(A12,'2016'!A:A,'2016'!N:N,"-")</f>
        <v>-</v>
      </c>
      <c r="F12" t="str">
        <f>_xlfn.XLOOKUP(A12,'2017'!A:A,'2017'!N:N,"-")</f>
        <v>-</v>
      </c>
      <c r="G12" t="str">
        <f>_xlfn.XLOOKUP(A12,'2018'!A:A,'2018'!N:N,"-")</f>
        <v>-</v>
      </c>
      <c r="H12" t="str">
        <f>_xlfn.XLOOKUP(A12,'2019'!A:A,'2019'!N:N,"-")</f>
        <v>-</v>
      </c>
      <c r="I12" t="str">
        <f>_xlfn.XLOOKUP(A12,'2020'!A:A,'2020'!N:N,"-")</f>
        <v>-</v>
      </c>
      <c r="J12" t="str">
        <f>_xlfn.XLOOKUP(A12,'2021'!A:A,'2021'!N:N,"-")</f>
        <v>-</v>
      </c>
      <c r="K12" t="str">
        <f>_xlfn.XLOOKUP(A12,'2025'!A:A,'2025'!N:N,"-")</f>
        <v>-</v>
      </c>
      <c r="L12" t="str">
        <f>_xlfn.XLOOKUP(A12,'2026'!A:A,'2026'!N:N,"-")</f>
        <v>-</v>
      </c>
      <c r="M12" s="34">
        <f t="shared" si="0"/>
        <v>2</v>
      </c>
    </row>
    <row r="13" spans="1:13" x14ac:dyDescent="0.35">
      <c r="A13" t="s">
        <v>97</v>
      </c>
      <c r="B13">
        <f>_xlfn.XLOOKUP(A13,'2013'!A:A,'2013'!N:N,"-")</f>
        <v>1741</v>
      </c>
      <c r="C13">
        <f>_xlfn.XLOOKUP(A13,'2014'!A:A,'2014'!N:N,"-")</f>
        <v>3291</v>
      </c>
      <c r="D13">
        <f>_xlfn.XLOOKUP(A13,'2015'!A:A,'2015'!N:N,"-")</f>
        <v>1515</v>
      </c>
      <c r="E13">
        <f>_xlfn.XLOOKUP(A13,'2016'!A:A,'2016'!N:N,"-")</f>
        <v>21</v>
      </c>
      <c r="F13" t="str">
        <f>_xlfn.XLOOKUP(A13,'2017'!A:A,'2017'!N:N,"-")</f>
        <v>-</v>
      </c>
      <c r="G13" t="str">
        <f>_xlfn.XLOOKUP(A13,'2018'!A:A,'2018'!N:N,"-")</f>
        <v>-</v>
      </c>
      <c r="H13" t="str">
        <f>_xlfn.XLOOKUP(A13,'2019'!A:A,'2019'!N:N,"-")</f>
        <v>-</v>
      </c>
      <c r="I13" t="str">
        <f>_xlfn.XLOOKUP(A13,'2020'!A:A,'2020'!N:N,"-")</f>
        <v>-</v>
      </c>
      <c r="J13" t="str">
        <f>_xlfn.XLOOKUP(A13,'2021'!A:A,'2021'!N:N,"-")</f>
        <v>-</v>
      </c>
      <c r="K13" t="str">
        <f>_xlfn.XLOOKUP(A13,'2025'!A:A,'2025'!N:N,"-")</f>
        <v>-</v>
      </c>
      <c r="L13" t="str">
        <f>_xlfn.XLOOKUP(A13,'2026'!A:A,'2026'!N:N,"-")</f>
        <v>-</v>
      </c>
      <c r="M13" s="34">
        <f t="shared" si="0"/>
        <v>6568</v>
      </c>
    </row>
    <row r="14" spans="1:13" x14ac:dyDescent="0.35">
      <c r="A14" t="s">
        <v>42</v>
      </c>
      <c r="B14" t="str">
        <f>_xlfn.XLOOKUP(A14,'2013'!A:A,'2013'!N:N,"-")</f>
        <v>-</v>
      </c>
      <c r="C14">
        <f>_xlfn.XLOOKUP(A14,'2014'!A:A,'2014'!N:N,"-")</f>
        <v>1</v>
      </c>
      <c r="D14" t="str">
        <f>_xlfn.XLOOKUP(A14,'2015'!A:A,'2015'!N:N,"-")</f>
        <v>-</v>
      </c>
      <c r="E14" t="str">
        <f>_xlfn.XLOOKUP(A14,'2016'!A:A,'2016'!N:N,"-")</f>
        <v>-</v>
      </c>
      <c r="F14" t="str">
        <f>_xlfn.XLOOKUP(A14,'2017'!A:A,'2017'!N:N,"-")</f>
        <v>-</v>
      </c>
      <c r="G14" t="str">
        <f>_xlfn.XLOOKUP(A14,'2018'!A:A,'2018'!N:N,"-")</f>
        <v>-</v>
      </c>
      <c r="H14" t="str">
        <f>_xlfn.XLOOKUP(A14,'2019'!A:A,'2019'!N:N,"-")</f>
        <v>-</v>
      </c>
      <c r="I14" t="str">
        <f>_xlfn.XLOOKUP(A14,'2020'!A:A,'2020'!N:N,"-")</f>
        <v>-</v>
      </c>
      <c r="J14" t="str">
        <f>_xlfn.XLOOKUP(A14,'2021'!A:A,'2021'!N:N,"-")</f>
        <v>-</v>
      </c>
      <c r="K14" t="str">
        <f>_xlfn.XLOOKUP(A14,'2025'!A:A,'2025'!N:N,"-")</f>
        <v>-</v>
      </c>
      <c r="L14" t="str">
        <f>_xlfn.XLOOKUP(A14,'2026'!A:A,'2026'!N:N,"-")</f>
        <v>-</v>
      </c>
      <c r="M14" s="34">
        <f t="shared" si="0"/>
        <v>1</v>
      </c>
    </row>
    <row r="15" spans="1:13" x14ac:dyDescent="0.35">
      <c r="A15" t="s">
        <v>98</v>
      </c>
      <c r="B15" t="str">
        <f>_xlfn.XLOOKUP(A15,'2013'!A:A,'2013'!N:N,"-")</f>
        <v>-</v>
      </c>
      <c r="C15">
        <f>_xlfn.XLOOKUP(A15,'2014'!A:A,'2014'!N:N,"-")</f>
        <v>5</v>
      </c>
      <c r="D15">
        <f>_xlfn.XLOOKUP(A15,'2015'!A:A,'2015'!N:N,"-")</f>
        <v>32</v>
      </c>
      <c r="E15">
        <f>_xlfn.XLOOKUP(A15,'2016'!A:A,'2016'!N:N,"-")</f>
        <v>80</v>
      </c>
      <c r="F15">
        <f>_xlfn.XLOOKUP(A15,'2017'!A:A,'2017'!N:N,"-")</f>
        <v>91</v>
      </c>
      <c r="G15">
        <f>_xlfn.XLOOKUP(A15,'2018'!A:A,'2018'!N:N,"-")</f>
        <v>169</v>
      </c>
      <c r="H15">
        <f>_xlfn.XLOOKUP(A15,'2019'!A:A,'2019'!N:N,"-")</f>
        <v>1306</v>
      </c>
      <c r="I15">
        <f>_xlfn.XLOOKUP(A15,'2020'!A:A,'2020'!N:N,"-")</f>
        <v>943</v>
      </c>
      <c r="J15">
        <f>_xlfn.XLOOKUP(A15,'2021'!A:A,'2021'!N:N,"-")</f>
        <v>3</v>
      </c>
      <c r="K15">
        <f>_xlfn.XLOOKUP(A15,'2025'!A:A,'2025'!N:N,"-")</f>
        <v>849</v>
      </c>
      <c r="L15">
        <f>_xlfn.XLOOKUP(A15,'2026'!A:A,'2026'!N:N,"-")</f>
        <v>81</v>
      </c>
      <c r="M15" s="34">
        <f t="shared" si="0"/>
        <v>3559</v>
      </c>
    </row>
    <row r="16" spans="1:13" x14ac:dyDescent="0.35">
      <c r="A16" t="s">
        <v>99</v>
      </c>
      <c r="B16" t="str">
        <f>_xlfn.XLOOKUP(A16,'2013'!A:A,'2013'!N:N,"-")</f>
        <v>-</v>
      </c>
      <c r="C16">
        <f>_xlfn.XLOOKUP(A16,'2014'!A:A,'2014'!N:N,"-")</f>
        <v>55</v>
      </c>
      <c r="D16">
        <f>_xlfn.XLOOKUP(A16,'2015'!A:A,'2015'!N:N,"-")</f>
        <v>1559</v>
      </c>
      <c r="E16">
        <f>_xlfn.XLOOKUP(A16,'2016'!A:A,'2016'!N:N,"-")</f>
        <v>857</v>
      </c>
      <c r="F16" t="str">
        <f>_xlfn.XLOOKUP(A16,'2017'!A:A,'2017'!N:N,"-")</f>
        <v>-</v>
      </c>
      <c r="G16" t="str">
        <f>_xlfn.XLOOKUP(A16,'2018'!A:A,'2018'!N:N,"-")</f>
        <v>-</v>
      </c>
      <c r="H16" t="str">
        <f>_xlfn.XLOOKUP(A16,'2019'!A:A,'2019'!N:N,"-")</f>
        <v>-</v>
      </c>
      <c r="I16" t="str">
        <f>_xlfn.XLOOKUP(A16,'2020'!A:A,'2020'!N:N,"-")</f>
        <v>-</v>
      </c>
      <c r="J16" t="str">
        <f>_xlfn.XLOOKUP(A16,'2021'!A:A,'2021'!N:N,"-")</f>
        <v>-</v>
      </c>
      <c r="K16" t="str">
        <f>_xlfn.XLOOKUP(A16,'2025'!A:A,'2025'!N:N,"-")</f>
        <v>-</v>
      </c>
      <c r="L16" t="str">
        <f>_xlfn.XLOOKUP(A16,'2026'!A:A,'2026'!N:N,"-")</f>
        <v>-</v>
      </c>
      <c r="M16" s="34">
        <f t="shared" si="0"/>
        <v>2471</v>
      </c>
    </row>
    <row r="17" spans="1:13" x14ac:dyDescent="0.35">
      <c r="A17" t="s">
        <v>100</v>
      </c>
      <c r="B17" t="str">
        <f>_xlfn.XLOOKUP(A17,'2013'!A:A,'2013'!N:N,"-")</f>
        <v>-</v>
      </c>
      <c r="C17" t="str">
        <f>_xlfn.XLOOKUP(A17,'2014'!A:A,'2014'!N:N,"-")</f>
        <v>-</v>
      </c>
      <c r="D17">
        <f>_xlfn.XLOOKUP(A17,'2015'!A:A,'2015'!N:N,"-")</f>
        <v>2153</v>
      </c>
      <c r="E17">
        <f>_xlfn.XLOOKUP(A17,'2016'!A:A,'2016'!N:N,"-")</f>
        <v>3761</v>
      </c>
      <c r="F17" t="str">
        <f>_xlfn.XLOOKUP(A17,'2017'!A:A,'2017'!N:N,"-")</f>
        <v>-</v>
      </c>
      <c r="G17" t="str">
        <f>_xlfn.XLOOKUP(A17,'2018'!A:A,'2018'!N:N,"-")</f>
        <v>-</v>
      </c>
      <c r="H17" t="str">
        <f>_xlfn.XLOOKUP(A17,'2019'!A:A,'2019'!N:N,"-")</f>
        <v>-</v>
      </c>
      <c r="I17" t="str">
        <f>_xlfn.XLOOKUP(A17,'2020'!A:A,'2020'!N:N,"-")</f>
        <v>-</v>
      </c>
      <c r="J17" t="str">
        <f>_xlfn.XLOOKUP(A17,'2021'!A:A,'2021'!N:N,"-")</f>
        <v>-</v>
      </c>
      <c r="K17" t="str">
        <f>_xlfn.XLOOKUP(A17,'2025'!A:A,'2025'!N:N,"-")</f>
        <v>-</v>
      </c>
      <c r="L17" t="str">
        <f>_xlfn.XLOOKUP(A17,'2026'!A:A,'2026'!N:N,"-")</f>
        <v>-</v>
      </c>
      <c r="M17" s="34">
        <f t="shared" si="0"/>
        <v>5914</v>
      </c>
    </row>
    <row r="18" spans="1:13" x14ac:dyDescent="0.35">
      <c r="A18" t="s">
        <v>101</v>
      </c>
      <c r="B18" t="str">
        <f>_xlfn.XLOOKUP(A18,'2013'!A:A,'2013'!N:N,"-")</f>
        <v>-</v>
      </c>
      <c r="C18" t="str">
        <f>_xlfn.XLOOKUP(A18,'2014'!A:A,'2014'!N:N,"-")</f>
        <v>-</v>
      </c>
      <c r="D18">
        <f>_xlfn.XLOOKUP(A18,'2015'!A:A,'2015'!N:N,"-")</f>
        <v>3942</v>
      </c>
      <c r="E18">
        <f>_xlfn.XLOOKUP(A18,'2016'!A:A,'2016'!N:N,"-")</f>
        <v>7195</v>
      </c>
      <c r="F18" t="str">
        <f>_xlfn.XLOOKUP(A18,'2017'!A:A,'2017'!N:N,"-")</f>
        <v>-</v>
      </c>
      <c r="G18" t="str">
        <f>_xlfn.XLOOKUP(A18,'2018'!A:A,'2018'!N:N,"-")</f>
        <v>-</v>
      </c>
      <c r="H18" t="str">
        <f>_xlfn.XLOOKUP(A18,'2019'!A:A,'2019'!N:N,"-")</f>
        <v>-</v>
      </c>
      <c r="I18" t="str">
        <f>_xlfn.XLOOKUP(A18,'2020'!A:A,'2020'!N:N,"-")</f>
        <v>-</v>
      </c>
      <c r="J18" t="str">
        <f>_xlfn.XLOOKUP(A18,'2021'!A:A,'2021'!N:N,"-")</f>
        <v>-</v>
      </c>
      <c r="K18" t="str">
        <f>_xlfn.XLOOKUP(A18,'2025'!A:A,'2025'!N:N,"-")</f>
        <v>-</v>
      </c>
      <c r="L18" t="str">
        <f>_xlfn.XLOOKUP(A18,'2026'!A:A,'2026'!N:N,"-")</f>
        <v>-</v>
      </c>
      <c r="M18" s="34">
        <f t="shared" si="0"/>
        <v>11137</v>
      </c>
    </row>
    <row r="19" spans="1:13" x14ac:dyDescent="0.35">
      <c r="A19" t="s">
        <v>102</v>
      </c>
      <c r="B19" t="str">
        <f>_xlfn.XLOOKUP(A19,'2013'!A:A,'2013'!N:N,"-")</f>
        <v>-</v>
      </c>
      <c r="C19" t="str">
        <f>_xlfn.XLOOKUP(A19,'2014'!A:A,'2014'!N:N,"-")</f>
        <v>-</v>
      </c>
      <c r="D19">
        <f>_xlfn.XLOOKUP(A19,'2015'!A:A,'2015'!N:N,"-")</f>
        <v>410</v>
      </c>
      <c r="E19">
        <f>_xlfn.XLOOKUP(A19,'2016'!A:A,'2016'!N:N,"-")</f>
        <v>790</v>
      </c>
      <c r="F19" t="str">
        <f>_xlfn.XLOOKUP(A19,'2017'!A:A,'2017'!N:N,"-")</f>
        <v>-</v>
      </c>
      <c r="G19" t="str">
        <f>_xlfn.XLOOKUP(A19,'2018'!A:A,'2018'!N:N,"-")</f>
        <v>-</v>
      </c>
      <c r="H19" t="str">
        <f>_xlfn.XLOOKUP(A19,'2019'!A:A,'2019'!N:N,"-")</f>
        <v>-</v>
      </c>
      <c r="I19" t="str">
        <f>_xlfn.XLOOKUP(A19,'2020'!A:A,'2020'!N:N,"-")</f>
        <v>-</v>
      </c>
      <c r="J19" t="str">
        <f>_xlfn.XLOOKUP(A19,'2021'!A:A,'2021'!N:N,"-")</f>
        <v>-</v>
      </c>
      <c r="K19" t="str">
        <f>_xlfn.XLOOKUP(A19,'2025'!A:A,'2025'!N:N,"-")</f>
        <v>-</v>
      </c>
      <c r="L19" t="str">
        <f>_xlfn.XLOOKUP(A19,'2026'!A:A,'2026'!N:N,"-")</f>
        <v>-</v>
      </c>
      <c r="M19" s="34">
        <f t="shared" si="0"/>
        <v>1200</v>
      </c>
    </row>
    <row r="20" spans="1:13" x14ac:dyDescent="0.35">
      <c r="A20" t="s">
        <v>103</v>
      </c>
      <c r="B20" t="str">
        <f>_xlfn.XLOOKUP(A20,'2013'!A:A,'2013'!N:N,"-")</f>
        <v>-</v>
      </c>
      <c r="C20" t="str">
        <f>_xlfn.XLOOKUP(A20,'2014'!A:A,'2014'!N:N,"-")</f>
        <v>-</v>
      </c>
      <c r="D20">
        <f>_xlfn.XLOOKUP(A20,'2015'!A:A,'2015'!N:N,"-")</f>
        <v>115</v>
      </c>
      <c r="E20">
        <f>_xlfn.XLOOKUP(A20,'2016'!A:A,'2016'!N:N,"-")</f>
        <v>1036</v>
      </c>
      <c r="F20" t="str">
        <f>_xlfn.XLOOKUP(A20,'2017'!A:A,'2017'!N:N,"-")</f>
        <v>-</v>
      </c>
      <c r="G20" t="str">
        <f>_xlfn.XLOOKUP(A20,'2018'!A:A,'2018'!N:N,"-")</f>
        <v>-</v>
      </c>
      <c r="H20" t="str">
        <f>_xlfn.XLOOKUP(A20,'2019'!A:A,'2019'!N:N,"-")</f>
        <v>-</v>
      </c>
      <c r="I20" t="str">
        <f>_xlfn.XLOOKUP(A20,'2020'!A:A,'2020'!N:N,"-")</f>
        <v>-</v>
      </c>
      <c r="J20" t="str">
        <f>_xlfn.XLOOKUP(A20,'2021'!A:A,'2021'!N:N,"-")</f>
        <v>-</v>
      </c>
      <c r="K20" t="str">
        <f>_xlfn.XLOOKUP(A20,'2025'!A:A,'2025'!N:N,"-")</f>
        <v>-</v>
      </c>
      <c r="L20" t="str">
        <f>_xlfn.XLOOKUP(A20,'2026'!A:A,'2026'!N:N,"-")</f>
        <v>-</v>
      </c>
      <c r="M20" s="34">
        <f t="shared" si="0"/>
        <v>1151</v>
      </c>
    </row>
    <row r="21" spans="1:13" x14ac:dyDescent="0.35">
      <c r="A21" t="s">
        <v>104</v>
      </c>
      <c r="B21" t="str">
        <f>_xlfn.XLOOKUP(A21,'2013'!A:A,'2013'!N:N,"-")</f>
        <v>-</v>
      </c>
      <c r="C21" t="str">
        <f>_xlfn.XLOOKUP(A21,'2014'!A:A,'2014'!N:N,"-")</f>
        <v>-</v>
      </c>
      <c r="D21">
        <f>_xlfn.XLOOKUP(A21,'2015'!A:A,'2015'!N:N,"-")</f>
        <v>3965</v>
      </c>
      <c r="E21">
        <f>_xlfn.XLOOKUP(A21,'2016'!A:A,'2016'!N:N,"-")</f>
        <v>3250</v>
      </c>
      <c r="F21" t="str">
        <f>_xlfn.XLOOKUP(A21,'2017'!A:A,'2017'!N:N,"-")</f>
        <v>-</v>
      </c>
      <c r="G21" t="str">
        <f>_xlfn.XLOOKUP(A21,'2018'!A:A,'2018'!N:N,"-")</f>
        <v>-</v>
      </c>
      <c r="H21" t="str">
        <f>_xlfn.XLOOKUP(A21,'2019'!A:A,'2019'!N:N,"-")</f>
        <v>-</v>
      </c>
      <c r="I21" t="str">
        <f>_xlfn.XLOOKUP(A21,'2020'!A:A,'2020'!N:N,"-")</f>
        <v>-</v>
      </c>
      <c r="J21" t="str">
        <f>_xlfn.XLOOKUP(A21,'2021'!A:A,'2021'!N:N,"-")</f>
        <v>-</v>
      </c>
      <c r="K21" t="str">
        <f>_xlfn.XLOOKUP(A21,'2025'!A:A,'2025'!N:N,"-")</f>
        <v>-</v>
      </c>
      <c r="L21" t="str">
        <f>_xlfn.XLOOKUP(A21,'2026'!A:A,'2026'!N:N,"-")</f>
        <v>-</v>
      </c>
      <c r="M21" s="34">
        <f t="shared" si="0"/>
        <v>7215</v>
      </c>
    </row>
    <row r="22" spans="1:13" x14ac:dyDescent="0.35">
      <c r="A22" t="s">
        <v>44</v>
      </c>
      <c r="B22" t="str">
        <f>_xlfn.XLOOKUP(A22,'2013'!A:A,'2013'!N:N,"-")</f>
        <v>-</v>
      </c>
      <c r="C22" t="str">
        <f>_xlfn.XLOOKUP(A22,'2014'!A:A,'2014'!N:N,"-")</f>
        <v>-</v>
      </c>
      <c r="D22" t="str">
        <f>_xlfn.XLOOKUP(A22,'2015'!A:A,'2015'!N:N,"-")</f>
        <v>-</v>
      </c>
      <c r="E22">
        <f>_xlfn.XLOOKUP(A22,'2016'!A:A,'2016'!N:N,"-")</f>
        <v>702</v>
      </c>
      <c r="F22" t="str">
        <f>_xlfn.XLOOKUP(A22,'2017'!A:A,'2017'!N:N,"-")</f>
        <v>-</v>
      </c>
      <c r="G22" t="str">
        <f>_xlfn.XLOOKUP(A22,'2018'!A:A,'2018'!N:N,"-")</f>
        <v>-</v>
      </c>
      <c r="H22" t="str">
        <f>_xlfn.XLOOKUP(A22,'2019'!A:A,'2019'!N:N,"-")</f>
        <v>-</v>
      </c>
      <c r="I22" t="str">
        <f>_xlfn.XLOOKUP(A22,'2020'!A:A,'2020'!N:N,"-")</f>
        <v>-</v>
      </c>
      <c r="J22" t="str">
        <f>_xlfn.XLOOKUP(A22,'2021'!A:A,'2021'!N:N,"-")</f>
        <v>-</v>
      </c>
      <c r="K22" t="str">
        <f>_xlfn.XLOOKUP(A22,'2025'!A:A,'2025'!N:N,"-")</f>
        <v>-</v>
      </c>
      <c r="L22" t="str">
        <f>_xlfn.XLOOKUP(A22,'2026'!A:A,'2026'!N:N,"-")</f>
        <v>-</v>
      </c>
      <c r="M22" s="34">
        <f t="shared" si="0"/>
        <v>702</v>
      </c>
    </row>
    <row r="23" spans="1:13" x14ac:dyDescent="0.35">
      <c r="A23" t="s">
        <v>31</v>
      </c>
      <c r="B23" t="str">
        <f>_xlfn.XLOOKUP(A23,'2013'!A:A,'2013'!N:N,"-")</f>
        <v>-</v>
      </c>
      <c r="C23" t="str">
        <f>_xlfn.XLOOKUP(A23,'2014'!A:A,'2014'!N:N,"-")</f>
        <v>-</v>
      </c>
      <c r="D23" t="str">
        <f>_xlfn.XLOOKUP(A23,'2015'!A:A,'2015'!N:N,"-")</f>
        <v>-</v>
      </c>
      <c r="E23">
        <f>_xlfn.XLOOKUP(A23,'2016'!A:A,'2016'!N:N,"-")</f>
        <v>5</v>
      </c>
      <c r="F23" t="str">
        <f>_xlfn.XLOOKUP(A23,'2017'!A:A,'2017'!N:N,"-")</f>
        <v>-</v>
      </c>
      <c r="G23" t="str">
        <f>_xlfn.XLOOKUP(A23,'2018'!A:A,'2018'!N:N,"-")</f>
        <v>-</v>
      </c>
      <c r="H23" t="str">
        <f>_xlfn.XLOOKUP(A23,'2019'!A:A,'2019'!N:N,"-")</f>
        <v>-</v>
      </c>
      <c r="I23" t="str">
        <f>_xlfn.XLOOKUP(A23,'2020'!A:A,'2020'!N:N,"-")</f>
        <v>-</v>
      </c>
      <c r="J23" t="str">
        <f>_xlfn.XLOOKUP(A23,'2021'!A:A,'2021'!N:N,"-")</f>
        <v>-</v>
      </c>
      <c r="K23" t="str">
        <f>_xlfn.XLOOKUP(A23,'2025'!A:A,'2025'!N:N,"-")</f>
        <v>-</v>
      </c>
      <c r="L23" t="str">
        <f>_xlfn.XLOOKUP(A23,'2026'!A:A,'2026'!N:N,"-")</f>
        <v>-</v>
      </c>
      <c r="M23" s="34">
        <f t="shared" si="0"/>
        <v>5</v>
      </c>
    </row>
    <row r="24" spans="1:13" x14ac:dyDescent="0.35">
      <c r="A24" t="s">
        <v>45</v>
      </c>
      <c r="B24" t="str">
        <f>_xlfn.XLOOKUP(A24,'2013'!A:A,'2013'!N:N,"-")</f>
        <v>-</v>
      </c>
      <c r="C24" t="str">
        <f>_xlfn.XLOOKUP(A24,'2014'!A:A,'2014'!N:N,"-")</f>
        <v>-</v>
      </c>
      <c r="D24" t="str">
        <f>_xlfn.XLOOKUP(A24,'2015'!A:A,'2015'!N:N,"-")</f>
        <v>-</v>
      </c>
      <c r="E24">
        <f>_xlfn.XLOOKUP(A24,'2016'!A:A,'2016'!N:N,"-")</f>
        <v>5598</v>
      </c>
      <c r="F24" t="str">
        <f>_xlfn.XLOOKUP(A24,'2017'!A:A,'2017'!N:N,"-")</f>
        <v>-</v>
      </c>
      <c r="G24" t="str">
        <f>_xlfn.XLOOKUP(A24,'2018'!A:A,'2018'!N:N,"-")</f>
        <v>-</v>
      </c>
      <c r="H24" t="str">
        <f>_xlfn.XLOOKUP(A24,'2019'!A:A,'2019'!N:N,"-")</f>
        <v>-</v>
      </c>
      <c r="I24" t="str">
        <f>_xlfn.XLOOKUP(A24,'2020'!A:A,'2020'!N:N,"-")</f>
        <v>-</v>
      </c>
      <c r="J24" t="str">
        <f>_xlfn.XLOOKUP(A24,'2021'!A:A,'2021'!N:N,"-")</f>
        <v>-</v>
      </c>
      <c r="K24" t="str">
        <f>_xlfn.XLOOKUP(A24,'2025'!A:A,'2025'!N:N,"-")</f>
        <v>-</v>
      </c>
      <c r="L24" t="str">
        <f>_xlfn.XLOOKUP(A24,'2026'!A:A,'2026'!N:N,"-")</f>
        <v>-</v>
      </c>
      <c r="M24" s="34">
        <f t="shared" si="0"/>
        <v>5598</v>
      </c>
    </row>
    <row r="25" spans="1:13" x14ac:dyDescent="0.35">
      <c r="A25" t="s">
        <v>46</v>
      </c>
      <c r="B25" t="str">
        <f>_xlfn.XLOOKUP(A25,'2013'!A:A,'2013'!N:N,"-")</f>
        <v>-</v>
      </c>
      <c r="C25" t="str">
        <f>_xlfn.XLOOKUP(A25,'2014'!A:A,'2014'!N:N,"-")</f>
        <v>-</v>
      </c>
      <c r="D25" t="str">
        <f>_xlfn.XLOOKUP(A25,'2015'!A:A,'2015'!N:N,"-")</f>
        <v>-</v>
      </c>
      <c r="E25">
        <f>_xlfn.XLOOKUP(A25,'2016'!A:A,'2016'!N:N,"-")</f>
        <v>507</v>
      </c>
      <c r="F25" t="str">
        <f>_xlfn.XLOOKUP(A25,'2017'!A:A,'2017'!N:N,"-")</f>
        <v>-</v>
      </c>
      <c r="G25" t="str">
        <f>_xlfn.XLOOKUP(A25,'2018'!A:A,'2018'!N:N,"-")</f>
        <v>-</v>
      </c>
      <c r="H25" t="str">
        <f>_xlfn.XLOOKUP(A25,'2019'!A:A,'2019'!N:N,"-")</f>
        <v>-</v>
      </c>
      <c r="I25" t="str">
        <f>_xlfn.XLOOKUP(A25,'2020'!A:A,'2020'!N:N,"-")</f>
        <v>-</v>
      </c>
      <c r="J25" t="str">
        <f>_xlfn.XLOOKUP(A25,'2021'!A:A,'2021'!N:N,"-")</f>
        <v>-</v>
      </c>
      <c r="K25" t="str">
        <f>_xlfn.XLOOKUP(A25,'2025'!A:A,'2025'!N:N,"-")</f>
        <v>-</v>
      </c>
      <c r="L25" t="str">
        <f>_xlfn.XLOOKUP(A25,'2026'!A:A,'2026'!N:N,"-")</f>
        <v>-</v>
      </c>
      <c r="M25" s="34">
        <f t="shared" si="0"/>
        <v>507</v>
      </c>
    </row>
    <row r="26" spans="1:13" x14ac:dyDescent="0.35">
      <c r="A26" t="s">
        <v>53</v>
      </c>
      <c r="B26" t="str">
        <f>_xlfn.XLOOKUP(A26,'2013'!A:A,'2013'!N:N,"-")</f>
        <v>-</v>
      </c>
      <c r="C26" t="str">
        <f>_xlfn.XLOOKUP(A26,'2014'!A:A,'2014'!N:N,"-")</f>
        <v>-</v>
      </c>
      <c r="D26" t="str">
        <f>_xlfn.XLOOKUP(A26,'2015'!A:A,'2015'!N:N,"-")</f>
        <v>-</v>
      </c>
      <c r="E26" t="str">
        <f>_xlfn.XLOOKUP(A26,'2016'!A:A,'2016'!N:N,"-")</f>
        <v>-</v>
      </c>
      <c r="F26">
        <f>_xlfn.XLOOKUP(A26,'2017'!A:A,'2017'!N:N,"-")</f>
        <v>8</v>
      </c>
      <c r="G26" t="str">
        <f>_xlfn.XLOOKUP(A26,'2018'!A:A,'2018'!N:N,"-")</f>
        <v>-</v>
      </c>
      <c r="H26" t="str">
        <f>_xlfn.XLOOKUP(A26,'2019'!A:A,'2019'!N:N,"-")</f>
        <v>-</v>
      </c>
      <c r="I26" t="str">
        <f>_xlfn.XLOOKUP(A26,'2020'!A:A,'2020'!N:N,"-")</f>
        <v>-</v>
      </c>
      <c r="J26" t="str">
        <f>_xlfn.XLOOKUP(A26,'2021'!A:A,'2021'!N:N,"-")</f>
        <v>-</v>
      </c>
      <c r="K26" t="str">
        <f>_xlfn.XLOOKUP(A26,'2025'!A:A,'2025'!N:N,"-")</f>
        <v>-</v>
      </c>
      <c r="L26" t="str">
        <f>_xlfn.XLOOKUP(A26,'2026'!A:A,'2026'!N:N,"-")</f>
        <v>-</v>
      </c>
      <c r="M26" s="34">
        <f t="shared" si="0"/>
        <v>8</v>
      </c>
    </row>
    <row r="27" spans="1:13" x14ac:dyDescent="0.35">
      <c r="A27" t="s">
        <v>105</v>
      </c>
      <c r="B27" t="str">
        <f>_xlfn.XLOOKUP(A27,'2013'!A:A,'2013'!N:N,"-")</f>
        <v>-</v>
      </c>
      <c r="C27" t="str">
        <f>_xlfn.XLOOKUP(A27,'2014'!A:A,'2014'!N:N,"-")</f>
        <v>-</v>
      </c>
      <c r="D27" t="str">
        <f>_xlfn.XLOOKUP(A27,'2015'!A:A,'2015'!N:N,"-")</f>
        <v>-</v>
      </c>
      <c r="E27" t="str">
        <f>_xlfn.XLOOKUP(A27,'2016'!A:A,'2016'!N:N,"-")</f>
        <v>-</v>
      </c>
      <c r="F27">
        <f>_xlfn.XLOOKUP(A27,'2017'!A:A,'2017'!N:N,"-")</f>
        <v>3606</v>
      </c>
      <c r="G27">
        <f>_xlfn.XLOOKUP(A27,'2018'!A:A,'2018'!N:N,"-")</f>
        <v>6504</v>
      </c>
      <c r="H27">
        <f>_xlfn.XLOOKUP(A27,'2019'!A:A,'2019'!N:N,"-")</f>
        <v>6151</v>
      </c>
      <c r="I27">
        <f>_xlfn.XLOOKUP(A27,'2020'!A:A,'2020'!N:N,"-")</f>
        <v>3421</v>
      </c>
      <c r="J27">
        <f>_xlfn.XLOOKUP(A27,'2021'!A:A,'2021'!N:N,"-")</f>
        <v>2</v>
      </c>
      <c r="K27" t="str">
        <f>_xlfn.XLOOKUP(A27,'2025'!A:A,'2025'!N:N,"-")</f>
        <v>-</v>
      </c>
      <c r="L27" t="str">
        <f>_xlfn.XLOOKUP(A27,'2026'!A:A,'2026'!N:N,"-")</f>
        <v>-</v>
      </c>
      <c r="M27" s="34">
        <f t="shared" si="0"/>
        <v>19684</v>
      </c>
    </row>
    <row r="28" spans="1:13" x14ac:dyDescent="0.35">
      <c r="A28" t="s">
        <v>69</v>
      </c>
      <c r="B28" t="str">
        <f>_xlfn.XLOOKUP(A28,'2013'!A:A,'2013'!N:N,"-")</f>
        <v>-</v>
      </c>
      <c r="C28" t="str">
        <f>_xlfn.XLOOKUP(A28,'2014'!A:A,'2014'!N:N,"-")</f>
        <v>-</v>
      </c>
      <c r="D28" t="str">
        <f>_xlfn.XLOOKUP(A28,'2015'!A:A,'2015'!N:N,"-")</f>
        <v>-</v>
      </c>
      <c r="E28" t="str">
        <f>_xlfn.XLOOKUP(A28,'2016'!A:A,'2016'!N:N,"-")</f>
        <v>-</v>
      </c>
      <c r="F28">
        <f>_xlfn.XLOOKUP(A28,'2017'!A:A,'2017'!N:N,"-")</f>
        <v>9248</v>
      </c>
      <c r="G28">
        <f>_xlfn.XLOOKUP(A28,'2018'!A:A,'2018'!N:N,"-")</f>
        <v>10415</v>
      </c>
      <c r="H28">
        <f>_xlfn.XLOOKUP(A28,'2019'!A:A,'2019'!N:N,"-")</f>
        <v>3605</v>
      </c>
      <c r="I28">
        <f>_xlfn.XLOOKUP(A28,'2020'!A:A,'2020'!N:N,"-")</f>
        <v>5</v>
      </c>
      <c r="J28" t="str">
        <f>_xlfn.XLOOKUP(A28,'2021'!A:A,'2021'!N:N,"-")</f>
        <v>-</v>
      </c>
      <c r="K28" t="str">
        <f>_xlfn.XLOOKUP(A28,'2025'!A:A,'2025'!N:N,"-")</f>
        <v>-</v>
      </c>
      <c r="L28" t="str">
        <f>_xlfn.XLOOKUP(A28,'2026'!A:A,'2026'!N:N,"-")</f>
        <v>-</v>
      </c>
      <c r="M28" s="34">
        <f t="shared" si="0"/>
        <v>23273</v>
      </c>
    </row>
    <row r="29" spans="1:13" x14ac:dyDescent="0.35">
      <c r="A29" t="s">
        <v>57</v>
      </c>
      <c r="B29" t="str">
        <f>_xlfn.XLOOKUP(A29,'2013'!A:A,'2013'!N:N,"-")</f>
        <v>-</v>
      </c>
      <c r="C29" t="str">
        <f>_xlfn.XLOOKUP(A29,'2014'!A:A,'2014'!N:N,"-")</f>
        <v>-</v>
      </c>
      <c r="D29" t="str">
        <f>_xlfn.XLOOKUP(A29,'2015'!A:A,'2015'!N:N,"-")</f>
        <v>-</v>
      </c>
      <c r="E29" t="str">
        <f>_xlfn.XLOOKUP(A29,'2016'!A:A,'2016'!N:N,"-")</f>
        <v>-</v>
      </c>
      <c r="F29">
        <f>_xlfn.XLOOKUP(A29,'2017'!A:A,'2017'!N:N,"-")</f>
        <v>37</v>
      </c>
      <c r="G29">
        <f>_xlfn.XLOOKUP(A29,'2018'!A:A,'2018'!N:N,"-")</f>
        <v>151</v>
      </c>
      <c r="H29">
        <f>_xlfn.XLOOKUP(A29,'2019'!A:A,'2019'!N:N,"-")</f>
        <v>39</v>
      </c>
      <c r="I29">
        <f>_xlfn.XLOOKUP(A29,'2020'!A:A,'2020'!N:N,"-")</f>
        <v>50</v>
      </c>
      <c r="J29">
        <f>_xlfn.XLOOKUP(A29,'2021'!A:A,'2021'!N:N,"-")</f>
        <v>1</v>
      </c>
      <c r="K29" t="str">
        <f>_xlfn.XLOOKUP(A29,'2025'!A:A,'2025'!N:N,"-")</f>
        <v>-</v>
      </c>
      <c r="L29" t="str">
        <f>_xlfn.XLOOKUP(A29,'2026'!A:A,'2026'!N:N,"-")</f>
        <v>-</v>
      </c>
      <c r="M29" s="34">
        <f t="shared" si="0"/>
        <v>278</v>
      </c>
    </row>
    <row r="30" spans="1:13" x14ac:dyDescent="0.35">
      <c r="A30" t="s">
        <v>106</v>
      </c>
      <c r="B30" t="str">
        <f>_xlfn.XLOOKUP(A30,'2013'!A:A,'2013'!N:N,"-")</f>
        <v>-</v>
      </c>
      <c r="C30" t="str">
        <f>_xlfn.XLOOKUP(A30,'2014'!A:A,'2014'!N:N,"-")</f>
        <v>-</v>
      </c>
      <c r="D30" t="str">
        <f>_xlfn.XLOOKUP(A30,'2015'!A:A,'2015'!N:N,"-")</f>
        <v>-</v>
      </c>
      <c r="E30" t="str">
        <f>_xlfn.XLOOKUP(A30,'2016'!A:A,'2016'!N:N,"-")</f>
        <v>-</v>
      </c>
      <c r="F30">
        <f>_xlfn.XLOOKUP(A30,'2017'!A:A,'2017'!N:N,"-")</f>
        <v>1059</v>
      </c>
      <c r="G30">
        <f>_xlfn.XLOOKUP(A30,'2018'!A:A,'2018'!N:N,"-")</f>
        <v>1181</v>
      </c>
      <c r="H30">
        <f>_xlfn.XLOOKUP(A30,'2019'!A:A,'2019'!N:N,"-")</f>
        <v>786</v>
      </c>
      <c r="I30">
        <f>_xlfn.XLOOKUP(A30,'2020'!A:A,'2020'!N:N,"-")</f>
        <v>442</v>
      </c>
      <c r="J30">
        <f>_xlfn.XLOOKUP(A30,'2021'!A:A,'2021'!N:N,"-")</f>
        <v>7</v>
      </c>
      <c r="K30" t="str">
        <f>_xlfn.XLOOKUP(A30,'2025'!A:A,'2025'!N:N,"-")</f>
        <v>-</v>
      </c>
      <c r="L30" t="str">
        <f>_xlfn.XLOOKUP(A30,'2026'!A:A,'2026'!N:N,"-")</f>
        <v>-</v>
      </c>
      <c r="M30" s="34">
        <f t="shared" si="0"/>
        <v>3475</v>
      </c>
    </row>
    <row r="31" spans="1:13" x14ac:dyDescent="0.35">
      <c r="A31" t="s">
        <v>71</v>
      </c>
      <c r="B31" t="str">
        <f>_xlfn.XLOOKUP(A31,'2013'!A:A,'2013'!N:N,"-")</f>
        <v>-</v>
      </c>
      <c r="C31" t="str">
        <f>_xlfn.XLOOKUP(A31,'2014'!A:A,'2014'!N:N,"-")</f>
        <v>-</v>
      </c>
      <c r="D31" t="str">
        <f>_xlfn.XLOOKUP(A31,'2015'!A:A,'2015'!N:N,"-")</f>
        <v>-</v>
      </c>
      <c r="E31" t="str">
        <f>_xlfn.XLOOKUP(A31,'2016'!A:A,'2016'!N:N,"-")</f>
        <v>-</v>
      </c>
      <c r="F31">
        <f>_xlfn.XLOOKUP(A31,'2017'!A:A,'2017'!N:N,"-")</f>
        <v>668</v>
      </c>
      <c r="G31">
        <f>_xlfn.XLOOKUP(A31,'2018'!A:A,'2018'!N:N,"-")</f>
        <v>504</v>
      </c>
      <c r="H31">
        <f>_xlfn.XLOOKUP(A31,'2019'!A:A,'2019'!N:N,"-")</f>
        <v>367</v>
      </c>
      <c r="I31">
        <f>_xlfn.XLOOKUP(A31,'2020'!A:A,'2020'!N:N,"-")</f>
        <v>237</v>
      </c>
      <c r="J31">
        <f>_xlfn.XLOOKUP(A31,'2021'!A:A,'2021'!N:N,"-")</f>
        <v>18</v>
      </c>
      <c r="K31" t="str">
        <f>_xlfn.XLOOKUP(A31,'2025'!A:A,'2025'!N:N,"-")</f>
        <v>-</v>
      </c>
      <c r="L31" t="str">
        <f>_xlfn.XLOOKUP(A31,'2026'!A:A,'2026'!N:N,"-")</f>
        <v>-</v>
      </c>
      <c r="M31" s="34">
        <f t="shared" si="0"/>
        <v>1794</v>
      </c>
    </row>
    <row r="32" spans="1:13" x14ac:dyDescent="0.35">
      <c r="A32" t="s">
        <v>107</v>
      </c>
      <c r="B32" t="str">
        <f>_xlfn.XLOOKUP(A32,'2013'!A:A,'2013'!N:N,"-")</f>
        <v>-</v>
      </c>
      <c r="C32" t="str">
        <f>_xlfn.XLOOKUP(A32,'2014'!A:A,'2014'!N:N,"-")</f>
        <v>-</v>
      </c>
      <c r="D32" t="str">
        <f>_xlfn.XLOOKUP(A32,'2015'!A:A,'2015'!N:N,"-")</f>
        <v>-</v>
      </c>
      <c r="E32" t="str">
        <f>_xlfn.XLOOKUP(A32,'2016'!A:A,'2016'!N:N,"-")</f>
        <v>-</v>
      </c>
      <c r="F32">
        <f>_xlfn.XLOOKUP(A32,'2017'!A:A,'2017'!N:N,"-")</f>
        <v>29</v>
      </c>
      <c r="G32" t="str">
        <f>_xlfn.XLOOKUP(A32,'2018'!A:A,'2018'!N:N,"-")</f>
        <v>-</v>
      </c>
      <c r="H32">
        <f>_xlfn.XLOOKUP(A32,'2019'!A:A,'2019'!N:N,"-")</f>
        <v>70</v>
      </c>
      <c r="I32">
        <f>_xlfn.XLOOKUP(A32,'2020'!A:A,'2020'!N:N,"-")</f>
        <v>1</v>
      </c>
      <c r="J32" t="str">
        <f>_xlfn.XLOOKUP(A32,'2021'!A:A,'2021'!N:N,"-")</f>
        <v>-</v>
      </c>
      <c r="K32" t="str">
        <f>_xlfn.XLOOKUP(A32,'2025'!A:A,'2025'!N:N,"-")</f>
        <v>-</v>
      </c>
      <c r="L32" t="str">
        <f>_xlfn.XLOOKUP(A32,'2026'!A:A,'2026'!N:N,"-")</f>
        <v>-</v>
      </c>
      <c r="M32" s="34">
        <f t="shared" si="0"/>
        <v>100</v>
      </c>
    </row>
    <row r="33" spans="1:13" x14ac:dyDescent="0.35">
      <c r="A33" t="s">
        <v>63</v>
      </c>
      <c r="B33" t="str">
        <f>_xlfn.XLOOKUP(A33,'2013'!A:A,'2013'!N:N,"-")</f>
        <v>-</v>
      </c>
      <c r="C33" t="str">
        <f>_xlfn.XLOOKUP(A33,'2014'!A:A,'2014'!N:N,"-")</f>
        <v>-</v>
      </c>
      <c r="D33" t="str">
        <f>_xlfn.XLOOKUP(A33,'2015'!A:A,'2015'!N:N,"-")</f>
        <v>-</v>
      </c>
      <c r="E33" t="str">
        <f>_xlfn.XLOOKUP(A33,'2016'!A:A,'2016'!N:N,"-")</f>
        <v>-</v>
      </c>
      <c r="F33">
        <f>_xlfn.XLOOKUP(A33,'2017'!A:A,'2017'!N:N,"-")</f>
        <v>119</v>
      </c>
      <c r="G33">
        <f>_xlfn.XLOOKUP(A33,'2018'!A:A,'2018'!N:N,"-")</f>
        <v>1497</v>
      </c>
      <c r="H33">
        <f>_xlfn.XLOOKUP(A33,'2019'!A:A,'2019'!N:N,"-")</f>
        <v>879</v>
      </c>
      <c r="I33">
        <f>_xlfn.XLOOKUP(A33,'2020'!A:A,'2020'!N:N,"-")</f>
        <v>435</v>
      </c>
      <c r="J33" t="str">
        <f>_xlfn.XLOOKUP(A33,'2021'!A:A,'2021'!N:N,"-")</f>
        <v>-</v>
      </c>
      <c r="K33" t="str">
        <f>_xlfn.XLOOKUP(A33,'2025'!A:A,'2025'!N:N,"-")</f>
        <v>-</v>
      </c>
      <c r="L33" t="str">
        <f>_xlfn.XLOOKUP(A33,'2026'!A:A,'2026'!N:N,"-")</f>
        <v>-</v>
      </c>
      <c r="M33" s="34">
        <f t="shared" si="0"/>
        <v>2930</v>
      </c>
    </row>
    <row r="34" spans="1:13" x14ac:dyDescent="0.35">
      <c r="A34" t="s">
        <v>108</v>
      </c>
      <c r="B34" t="str">
        <f>_xlfn.XLOOKUP(A34,'2013'!A:A,'2013'!N:N,"-")</f>
        <v>-</v>
      </c>
      <c r="C34" t="str">
        <f>_xlfn.XLOOKUP(A34,'2014'!A:A,'2014'!N:N,"-")</f>
        <v>-</v>
      </c>
      <c r="D34" t="str">
        <f>_xlfn.XLOOKUP(A34,'2015'!A:A,'2015'!N:N,"-")</f>
        <v>-</v>
      </c>
      <c r="E34" t="str">
        <f>_xlfn.XLOOKUP(A34,'2016'!A:A,'2016'!N:N,"-")</f>
        <v>-</v>
      </c>
      <c r="F34">
        <f>_xlfn.XLOOKUP(A34,'2017'!A:A,'2017'!N:N,"-")</f>
        <v>411</v>
      </c>
      <c r="G34">
        <f>_xlfn.XLOOKUP(A34,'2018'!A:A,'2018'!N:N,"-")</f>
        <v>726</v>
      </c>
      <c r="H34">
        <f>_xlfn.XLOOKUP(A34,'2019'!A:A,'2019'!N:N,"-")</f>
        <v>774</v>
      </c>
      <c r="I34">
        <f>_xlfn.XLOOKUP(A34,'2020'!A:A,'2020'!N:N,"-")</f>
        <v>605</v>
      </c>
      <c r="J34">
        <f>_xlfn.XLOOKUP(A34,'2021'!A:A,'2021'!N:N,"-")</f>
        <v>1</v>
      </c>
      <c r="K34" t="str">
        <f>_xlfn.XLOOKUP(A34,'2025'!A:A,'2025'!N:N,"-")</f>
        <v>-</v>
      </c>
      <c r="L34" t="str">
        <f>_xlfn.XLOOKUP(A34,'2026'!A:A,'2026'!N:N,"-")</f>
        <v>-</v>
      </c>
      <c r="M34" s="34">
        <f t="shared" si="0"/>
        <v>2517</v>
      </c>
    </row>
    <row r="35" spans="1:13" x14ac:dyDescent="0.35">
      <c r="A35" t="s">
        <v>83</v>
      </c>
      <c r="B35" t="str">
        <f>_xlfn.XLOOKUP(A35,'2013'!A:A,'2013'!N:N,"-")</f>
        <v>-</v>
      </c>
      <c r="C35" t="str">
        <f>_xlfn.XLOOKUP(A35,'2014'!A:A,'2014'!N:N,"-")</f>
        <v>-</v>
      </c>
      <c r="D35" t="str">
        <f>_xlfn.XLOOKUP(A35,'2015'!A:A,'2015'!N:N,"-")</f>
        <v>-</v>
      </c>
      <c r="E35" t="str">
        <f>_xlfn.XLOOKUP(A35,'2016'!A:A,'2016'!N:N,"-")</f>
        <v>-</v>
      </c>
      <c r="F35">
        <f>_xlfn.XLOOKUP(A35,'2017'!A:A,'2017'!N:N,"-")</f>
        <v>223</v>
      </c>
      <c r="G35">
        <f>_xlfn.XLOOKUP(A35,'2018'!A:A,'2018'!N:N,"-")</f>
        <v>99</v>
      </c>
      <c r="H35">
        <f>_xlfn.XLOOKUP(A35,'2019'!A:A,'2019'!N:N,"-")</f>
        <v>35</v>
      </c>
      <c r="I35">
        <f>_xlfn.XLOOKUP(A35,'2020'!A:A,'2020'!N:N,"-")</f>
        <v>6</v>
      </c>
      <c r="J35">
        <f>_xlfn.XLOOKUP(A35,'2021'!A:A,'2021'!N:N,"-")</f>
        <v>1</v>
      </c>
      <c r="K35" t="str">
        <f>_xlfn.XLOOKUP(A35,'2025'!A:A,'2025'!N:N,"-")</f>
        <v>-</v>
      </c>
      <c r="L35" t="str">
        <f>_xlfn.XLOOKUP(A35,'2026'!A:A,'2026'!N:N,"-")</f>
        <v>-</v>
      </c>
      <c r="M35" s="34">
        <f t="shared" si="0"/>
        <v>364</v>
      </c>
    </row>
    <row r="36" spans="1:13" x14ac:dyDescent="0.35">
      <c r="A36" t="s">
        <v>109</v>
      </c>
      <c r="B36" t="str">
        <f>_xlfn.XLOOKUP(A36,'2013'!A:A,'2013'!N:N,"-")</f>
        <v>-</v>
      </c>
      <c r="C36" t="str">
        <f>_xlfn.XLOOKUP(A36,'2014'!A:A,'2014'!N:N,"-")</f>
        <v>-</v>
      </c>
      <c r="D36" t="str">
        <f>_xlfn.XLOOKUP(A36,'2015'!A:A,'2015'!N:N,"-")</f>
        <v>-</v>
      </c>
      <c r="E36" t="str">
        <f>_xlfn.XLOOKUP(A36,'2016'!A:A,'2016'!N:N,"-")</f>
        <v>-</v>
      </c>
      <c r="F36">
        <f>_xlfn.XLOOKUP(A36,'2017'!A:A,'2017'!N:N,"-")</f>
        <v>17074</v>
      </c>
      <c r="G36">
        <f>_xlfn.XLOOKUP(A36,'2018'!A:A,'2018'!N:N,"-")</f>
        <v>13647</v>
      </c>
      <c r="H36">
        <f>_xlfn.XLOOKUP(A36,'2019'!A:A,'2019'!N:N,"-")</f>
        <v>7628</v>
      </c>
      <c r="I36">
        <f>_xlfn.XLOOKUP(A36,'2020'!A:A,'2020'!N:N,"-")</f>
        <v>3729</v>
      </c>
      <c r="J36">
        <f>_xlfn.XLOOKUP(A36,'2021'!A:A,'2021'!N:N,"-")</f>
        <v>6</v>
      </c>
      <c r="K36" t="str">
        <f>_xlfn.XLOOKUP(A36,'2025'!A:A,'2025'!N:N,"-")</f>
        <v>-</v>
      </c>
      <c r="L36" t="str">
        <f>_xlfn.XLOOKUP(A36,'2026'!A:A,'2026'!N:N,"-")</f>
        <v>-</v>
      </c>
      <c r="M36" s="34">
        <f t="shared" si="0"/>
        <v>42084</v>
      </c>
    </row>
    <row r="37" spans="1:13" x14ac:dyDescent="0.35">
      <c r="A37" t="s">
        <v>73</v>
      </c>
      <c r="B37" t="str">
        <f>_xlfn.XLOOKUP(A37,'2013'!A:A,'2013'!N:N,"-")</f>
        <v>-</v>
      </c>
      <c r="C37" t="str">
        <f>_xlfn.XLOOKUP(A37,'2014'!A:A,'2014'!N:N,"-")</f>
        <v>-</v>
      </c>
      <c r="D37" t="str">
        <f>_xlfn.XLOOKUP(A37,'2015'!A:A,'2015'!N:N,"-")</f>
        <v>-</v>
      </c>
      <c r="E37" t="str">
        <f>_xlfn.XLOOKUP(A37,'2016'!A:A,'2016'!N:N,"-")</f>
        <v>-</v>
      </c>
      <c r="F37">
        <f>_xlfn.XLOOKUP(A37,'2017'!A:A,'2017'!N:N,"-")</f>
        <v>7171</v>
      </c>
      <c r="G37">
        <f>_xlfn.XLOOKUP(A37,'2018'!A:A,'2018'!N:N,"-")</f>
        <v>16804</v>
      </c>
      <c r="H37">
        <f>_xlfn.XLOOKUP(A37,'2019'!A:A,'2019'!N:N,"-")</f>
        <v>12170</v>
      </c>
      <c r="I37">
        <f>_xlfn.XLOOKUP(A37,'2020'!A:A,'2020'!N:N,"-")</f>
        <v>5907</v>
      </c>
      <c r="J37">
        <f>_xlfn.XLOOKUP(A37,'2021'!A:A,'2021'!N:N,"-")</f>
        <v>5</v>
      </c>
      <c r="K37" t="str">
        <f>_xlfn.XLOOKUP(A37,'2025'!A:A,'2025'!N:N,"-")</f>
        <v>-</v>
      </c>
      <c r="L37" t="str">
        <f>_xlfn.XLOOKUP(A37,'2026'!A:A,'2026'!N:N,"-")</f>
        <v>-</v>
      </c>
      <c r="M37" s="34">
        <f t="shared" si="0"/>
        <v>42057</v>
      </c>
    </row>
    <row r="38" spans="1:13" x14ac:dyDescent="0.35">
      <c r="A38" t="s">
        <v>68</v>
      </c>
      <c r="B38" t="str">
        <f>_xlfn.XLOOKUP(A38,'2013'!A:A,'2013'!N:N,"-")</f>
        <v>-</v>
      </c>
      <c r="C38" t="str">
        <f>_xlfn.XLOOKUP(A38,'2014'!A:A,'2014'!N:N,"-")</f>
        <v>-</v>
      </c>
      <c r="D38" t="str">
        <f>_xlfn.XLOOKUP(A38,'2015'!A:A,'2015'!N:N,"-")</f>
        <v>-</v>
      </c>
      <c r="E38" t="str">
        <f>_xlfn.XLOOKUP(A38,'2016'!A:A,'2016'!N:N,"-")</f>
        <v>-</v>
      </c>
      <c r="F38" t="str">
        <f>_xlfn.XLOOKUP(A38,'2017'!A:A,'2017'!N:N,"-")</f>
        <v>-</v>
      </c>
      <c r="G38">
        <f>_xlfn.XLOOKUP(A38,'2018'!A:A,'2018'!N:N,"-")</f>
        <v>15</v>
      </c>
      <c r="H38" t="str">
        <f>_xlfn.XLOOKUP(A38,'2019'!A:A,'2019'!N:N,"-")</f>
        <v>-</v>
      </c>
      <c r="I38" t="str">
        <f>_xlfn.XLOOKUP(A38,'2020'!A:A,'2020'!N:N,"-")</f>
        <v>-</v>
      </c>
      <c r="J38" t="str">
        <f>_xlfn.XLOOKUP(A38,'2021'!A:A,'2021'!N:N,"-")</f>
        <v>-</v>
      </c>
      <c r="K38" t="str">
        <f>_xlfn.XLOOKUP(A38,'2025'!A:A,'2025'!N:N,"-")</f>
        <v>-</v>
      </c>
      <c r="L38" t="str">
        <f>_xlfn.XLOOKUP(A38,'2026'!A:A,'2026'!N:N,"-")</f>
        <v>-</v>
      </c>
      <c r="M38" s="34">
        <f t="shared" si="0"/>
        <v>15</v>
      </c>
    </row>
    <row r="39" spans="1:13" x14ac:dyDescent="0.35">
      <c r="A39" t="s">
        <v>70</v>
      </c>
      <c r="B39" t="str">
        <f>_xlfn.XLOOKUP(A39,'2013'!A:A,'2013'!N:N,"-")</f>
        <v>-</v>
      </c>
      <c r="C39" t="str">
        <f>_xlfn.XLOOKUP(A39,'2014'!A:A,'2014'!N:N,"-")</f>
        <v>-</v>
      </c>
      <c r="D39" t="str">
        <f>_xlfn.XLOOKUP(A39,'2015'!A:A,'2015'!N:N,"-")</f>
        <v>-</v>
      </c>
      <c r="E39" t="str">
        <f>_xlfn.XLOOKUP(A39,'2016'!A:A,'2016'!N:N,"-")</f>
        <v>-</v>
      </c>
      <c r="F39" t="str">
        <f>_xlfn.XLOOKUP(A39,'2017'!A:A,'2017'!N:N,"-")</f>
        <v>-</v>
      </c>
      <c r="G39">
        <f>_xlfn.XLOOKUP(A39,'2018'!A:A,'2018'!N:N,"-")</f>
        <v>1255</v>
      </c>
      <c r="H39">
        <f>_xlfn.XLOOKUP(A39,'2019'!A:A,'2019'!N:N,"-")</f>
        <v>2741</v>
      </c>
      <c r="I39" t="str">
        <f>_xlfn.XLOOKUP(A39,'2020'!A:A,'2020'!N:N,"-")</f>
        <v>-</v>
      </c>
      <c r="J39">
        <f>_xlfn.XLOOKUP(A39,'2021'!A:A,'2021'!N:N,"-")</f>
        <v>1</v>
      </c>
      <c r="K39" t="str">
        <f>_xlfn.XLOOKUP(A39,'2025'!A:A,'2025'!N:N,"-")</f>
        <v>-</v>
      </c>
      <c r="L39" t="str">
        <f>_xlfn.XLOOKUP(A39,'2026'!A:A,'2026'!N:N,"-")</f>
        <v>-</v>
      </c>
      <c r="M39" s="34">
        <f t="shared" si="0"/>
        <v>3997</v>
      </c>
    </row>
    <row r="40" spans="1:13" x14ac:dyDescent="0.35">
      <c r="A40" t="s">
        <v>72</v>
      </c>
      <c r="B40" t="str">
        <f>_xlfn.XLOOKUP(A40,'2013'!A:A,'2013'!N:N,"-")</f>
        <v>-</v>
      </c>
      <c r="C40" t="str">
        <f>_xlfn.XLOOKUP(A40,'2014'!A:A,'2014'!N:N,"-")</f>
        <v>-</v>
      </c>
      <c r="D40" t="str">
        <f>_xlfn.XLOOKUP(A40,'2015'!A:A,'2015'!N:N,"-")</f>
        <v>-</v>
      </c>
      <c r="E40" t="str">
        <f>_xlfn.XLOOKUP(A40,'2016'!A:A,'2016'!N:N,"-")</f>
        <v>-</v>
      </c>
      <c r="F40" t="str">
        <f>_xlfn.XLOOKUP(A40,'2017'!A:A,'2017'!N:N,"-")</f>
        <v>-</v>
      </c>
      <c r="G40">
        <f>_xlfn.XLOOKUP(A40,'2018'!A:A,'2018'!N:N,"-")</f>
        <v>537</v>
      </c>
      <c r="H40">
        <f>_xlfn.XLOOKUP(A40,'2019'!A:A,'2019'!N:N,"-")</f>
        <v>374</v>
      </c>
      <c r="I40">
        <f>_xlfn.XLOOKUP(A40,'2020'!A:A,'2020'!N:N,"-")</f>
        <v>228</v>
      </c>
      <c r="J40">
        <f>_xlfn.XLOOKUP(A40,'2021'!A:A,'2021'!N:N,"-")</f>
        <v>1</v>
      </c>
      <c r="K40" t="str">
        <f>_xlfn.XLOOKUP(A40,'2025'!A:A,'2025'!N:N,"-")</f>
        <v>-</v>
      </c>
      <c r="L40" t="str">
        <f>_xlfn.XLOOKUP(A40,'2026'!A:A,'2026'!N:N,"-")</f>
        <v>-</v>
      </c>
      <c r="M40" s="34">
        <f t="shared" si="0"/>
        <v>1140</v>
      </c>
    </row>
    <row r="41" spans="1:13" x14ac:dyDescent="0.35">
      <c r="A41" t="s">
        <v>74</v>
      </c>
      <c r="B41" t="str">
        <f>_xlfn.XLOOKUP(A41,'2013'!A:A,'2013'!N:N,"-")</f>
        <v>-</v>
      </c>
      <c r="C41" t="str">
        <f>_xlfn.XLOOKUP(A41,'2014'!A:A,'2014'!N:N,"-")</f>
        <v>-</v>
      </c>
      <c r="D41" t="str">
        <f>_xlfn.XLOOKUP(A41,'2015'!A:A,'2015'!N:N,"-")</f>
        <v>-</v>
      </c>
      <c r="E41" t="str">
        <f>_xlfn.XLOOKUP(A41,'2016'!A:A,'2016'!N:N,"-")</f>
        <v>-</v>
      </c>
      <c r="F41" t="str">
        <f>_xlfn.XLOOKUP(A41,'2017'!A:A,'2017'!N:N,"-")</f>
        <v>-</v>
      </c>
      <c r="G41">
        <f>_xlfn.XLOOKUP(A41,'2018'!A:A,'2018'!N:N,"-")</f>
        <v>2330</v>
      </c>
      <c r="H41">
        <f>_xlfn.XLOOKUP(A41,'2019'!A:A,'2019'!N:N,"-")</f>
        <v>9081</v>
      </c>
      <c r="I41">
        <f>_xlfn.XLOOKUP(A41,'2020'!A:A,'2020'!N:N,"-")</f>
        <v>3670</v>
      </c>
      <c r="J41">
        <f>_xlfn.XLOOKUP(A41,'2021'!A:A,'2021'!N:N,"-")</f>
        <v>1</v>
      </c>
      <c r="K41" t="str">
        <f>_xlfn.XLOOKUP(A41,'2025'!A:A,'2025'!N:N,"-")</f>
        <v>-</v>
      </c>
      <c r="L41" t="str">
        <f>_xlfn.XLOOKUP(A41,'2026'!A:A,'2026'!N:N,"-")</f>
        <v>-</v>
      </c>
      <c r="M41" s="34">
        <f t="shared" si="0"/>
        <v>15082</v>
      </c>
    </row>
    <row r="42" spans="1:13" x14ac:dyDescent="0.35">
      <c r="A42" t="s">
        <v>75</v>
      </c>
      <c r="B42" t="str">
        <f>_xlfn.XLOOKUP(A42,'2013'!A:A,'2013'!N:N,"-")</f>
        <v>-</v>
      </c>
      <c r="C42" t="str">
        <f>_xlfn.XLOOKUP(A42,'2014'!A:A,'2014'!N:N,"-")</f>
        <v>-</v>
      </c>
      <c r="D42" t="str">
        <f>_xlfn.XLOOKUP(A42,'2015'!A:A,'2015'!N:N,"-")</f>
        <v>-</v>
      </c>
      <c r="E42" t="str">
        <f>_xlfn.XLOOKUP(A42,'2016'!A:A,'2016'!N:N,"-")</f>
        <v>-</v>
      </c>
      <c r="F42" t="str">
        <f>_xlfn.XLOOKUP(A42,'2017'!A:A,'2017'!N:N,"-")</f>
        <v>-</v>
      </c>
      <c r="G42" t="str">
        <f>_xlfn.XLOOKUP(A42,'2018'!A:A,'2018'!N:N,"-")</f>
        <v>-</v>
      </c>
      <c r="H42">
        <f>_xlfn.XLOOKUP(A42,'2019'!A:A,'2019'!N:N,"-")</f>
        <v>3086</v>
      </c>
      <c r="I42">
        <f>_xlfn.XLOOKUP(A42,'2020'!A:A,'2020'!N:N,"-")</f>
        <v>2115</v>
      </c>
      <c r="J42" t="str">
        <f>_xlfn.XLOOKUP(A42,'2021'!A:A,'2021'!N:N,"-")</f>
        <v>-</v>
      </c>
      <c r="K42" t="str">
        <f>_xlfn.XLOOKUP(A42,'2025'!A:A,'2025'!N:N,"-")</f>
        <v>-</v>
      </c>
      <c r="L42" t="str">
        <f>_xlfn.XLOOKUP(A42,'2026'!A:A,'2026'!N:N,"-")</f>
        <v>-</v>
      </c>
      <c r="M42" s="34">
        <f t="shared" si="0"/>
        <v>5201</v>
      </c>
    </row>
    <row r="43" spans="1:13" x14ac:dyDescent="0.35">
      <c r="A43" t="s">
        <v>76</v>
      </c>
      <c r="B43" t="str">
        <f>_xlfn.XLOOKUP(A43,'2013'!A:A,'2013'!N:N,"-")</f>
        <v>-</v>
      </c>
      <c r="C43" t="str">
        <f>_xlfn.XLOOKUP(A43,'2014'!A:A,'2014'!N:N,"-")</f>
        <v>-</v>
      </c>
      <c r="D43" t="str">
        <f>_xlfn.XLOOKUP(A43,'2015'!A:A,'2015'!N:N,"-")</f>
        <v>-</v>
      </c>
      <c r="E43" t="str">
        <f>_xlfn.XLOOKUP(A43,'2016'!A:A,'2016'!N:N,"-")</f>
        <v>-</v>
      </c>
      <c r="F43" t="str">
        <f>_xlfn.XLOOKUP(A43,'2017'!A:A,'2017'!N:N,"-")</f>
        <v>-</v>
      </c>
      <c r="G43" t="str">
        <f>_xlfn.XLOOKUP(A43,'2018'!A:A,'2018'!N:N,"-")</f>
        <v>-</v>
      </c>
      <c r="H43">
        <f>_xlfn.XLOOKUP(A43,'2019'!A:A,'2019'!N:N,"-")</f>
        <v>3910</v>
      </c>
      <c r="I43">
        <f>_xlfn.XLOOKUP(A43,'2020'!A:A,'2020'!N:N,"-")</f>
        <v>3049</v>
      </c>
      <c r="J43" t="str">
        <f>_xlfn.XLOOKUP(A43,'2021'!A:A,'2021'!N:N,"-")</f>
        <v>-</v>
      </c>
      <c r="K43" t="str">
        <f>_xlfn.XLOOKUP(A43,'2025'!A:A,'2025'!N:N,"-")</f>
        <v>-</v>
      </c>
      <c r="L43" t="str">
        <f>_xlfn.XLOOKUP(A43,'2026'!A:A,'2026'!N:N,"-")</f>
        <v>-</v>
      </c>
      <c r="M43" s="34">
        <f t="shared" si="0"/>
        <v>6959</v>
      </c>
    </row>
    <row r="44" spans="1:13" x14ac:dyDescent="0.35">
      <c r="A44" t="s">
        <v>77</v>
      </c>
      <c r="B44" t="str">
        <f>_xlfn.XLOOKUP(A44,'2013'!A:A,'2013'!N:N,"-")</f>
        <v>-</v>
      </c>
      <c r="C44" t="str">
        <f>_xlfn.XLOOKUP(A44,'2014'!A:A,'2014'!N:N,"-")</f>
        <v>-</v>
      </c>
      <c r="D44" t="str">
        <f>_xlfn.XLOOKUP(A44,'2015'!A:A,'2015'!N:N,"-")</f>
        <v>-</v>
      </c>
      <c r="E44" t="str">
        <f>_xlfn.XLOOKUP(A44,'2016'!A:A,'2016'!N:N,"-")</f>
        <v>-</v>
      </c>
      <c r="F44" t="str">
        <f>_xlfn.XLOOKUP(A44,'2017'!A:A,'2017'!N:N,"-")</f>
        <v>-</v>
      </c>
      <c r="G44" t="str">
        <f>_xlfn.XLOOKUP(A44,'2018'!A:A,'2018'!N:N,"-")</f>
        <v>-</v>
      </c>
      <c r="H44">
        <f>_xlfn.XLOOKUP(A44,'2019'!A:A,'2019'!N:N,"-")</f>
        <v>861</v>
      </c>
      <c r="I44">
        <f>_xlfn.XLOOKUP(A44,'2020'!A:A,'2020'!N:N,"-")</f>
        <v>1343</v>
      </c>
      <c r="J44">
        <f>_xlfn.XLOOKUP(A44,'2021'!A:A,'2021'!N:N,"-")</f>
        <v>4</v>
      </c>
      <c r="K44">
        <f>_xlfn.XLOOKUP(A44,'2025'!A:A,'2025'!N:N,"-")</f>
        <v>1651</v>
      </c>
      <c r="L44">
        <f>_xlfn.XLOOKUP(A44,'2026'!A:A,'2026'!N:N,"-")</f>
        <v>243</v>
      </c>
      <c r="M44" s="34">
        <f t="shared" si="0"/>
        <v>4102</v>
      </c>
    </row>
    <row r="45" spans="1:13" x14ac:dyDescent="0.35">
      <c r="A45" t="s">
        <v>60</v>
      </c>
      <c r="B45" t="str">
        <f>_xlfn.XLOOKUP(A45,'2013'!A:A,'2013'!N:N,"-")</f>
        <v>-</v>
      </c>
      <c r="C45" t="str">
        <f>_xlfn.XLOOKUP(A45,'2014'!A:A,'2014'!N:N,"-")</f>
        <v>-</v>
      </c>
      <c r="D45" t="str">
        <f>_xlfn.XLOOKUP(A45,'2015'!A:A,'2015'!N:N,"-")</f>
        <v>-</v>
      </c>
      <c r="E45" t="str">
        <f>_xlfn.XLOOKUP(A45,'2016'!A:A,'2016'!N:N,"-")</f>
        <v>-</v>
      </c>
      <c r="F45" t="str">
        <f>_xlfn.XLOOKUP(A45,'2017'!A:A,'2017'!N:N,"-")</f>
        <v>-</v>
      </c>
      <c r="G45" t="str">
        <f>_xlfn.XLOOKUP(A45,'2018'!A:A,'2018'!N:N,"-")</f>
        <v>-</v>
      </c>
      <c r="H45">
        <f>_xlfn.XLOOKUP(A45,'2019'!A:A,'2019'!N:N,"-")</f>
        <v>3</v>
      </c>
      <c r="I45">
        <f>_xlfn.XLOOKUP(A45,'2020'!A:A,'2020'!N:N,"-")</f>
        <v>1</v>
      </c>
      <c r="J45">
        <f>_xlfn.XLOOKUP(A45,'2021'!A:A,'2021'!N:N,"-")</f>
        <v>7</v>
      </c>
      <c r="K45" t="str">
        <f>_xlfn.XLOOKUP(A45,'2025'!A:A,'2025'!N:N,"-")</f>
        <v>-</v>
      </c>
      <c r="L45" t="str">
        <f>_xlfn.XLOOKUP(A45,'2026'!A:A,'2026'!N:N,"-")</f>
        <v>-</v>
      </c>
      <c r="M45" s="34">
        <f t="shared" si="0"/>
        <v>11</v>
      </c>
    </row>
    <row r="46" spans="1:13" x14ac:dyDescent="0.35">
      <c r="A46" t="s">
        <v>78</v>
      </c>
      <c r="B46" t="str">
        <f>_xlfn.XLOOKUP(A46,'2013'!A:A,'2013'!N:N,"-")</f>
        <v>-</v>
      </c>
      <c r="C46" t="str">
        <f>_xlfn.XLOOKUP(A46,'2014'!A:A,'2014'!N:N,"-")</f>
        <v>-</v>
      </c>
      <c r="D46" t="str">
        <f>_xlfn.XLOOKUP(A46,'2015'!A:A,'2015'!N:N,"-")</f>
        <v>-</v>
      </c>
      <c r="E46" t="str">
        <f>_xlfn.XLOOKUP(A46,'2016'!A:A,'2016'!N:N,"-")</f>
        <v>-</v>
      </c>
      <c r="F46" t="str">
        <f>_xlfn.XLOOKUP(A46,'2017'!A:A,'2017'!N:N,"-")</f>
        <v>-</v>
      </c>
      <c r="G46" t="str">
        <f>_xlfn.XLOOKUP(A46,'2018'!A:A,'2018'!N:N,"-")</f>
        <v>-</v>
      </c>
      <c r="H46">
        <f>_xlfn.XLOOKUP(A46,'2019'!A:A,'2019'!N:N,"-")</f>
        <v>220</v>
      </c>
      <c r="I46">
        <f>_xlfn.XLOOKUP(A46,'2020'!A:A,'2020'!N:N,"-")</f>
        <v>612</v>
      </c>
      <c r="J46" t="str">
        <f>_xlfn.XLOOKUP(A46,'2021'!A:A,'2021'!N:N,"-")</f>
        <v>-</v>
      </c>
      <c r="K46" t="str">
        <f>_xlfn.XLOOKUP(A46,'2025'!A:A,'2025'!N:N,"-")</f>
        <v>-</v>
      </c>
      <c r="L46" t="str">
        <f>_xlfn.XLOOKUP(A46,'2026'!A:A,'2026'!N:N,"-")</f>
        <v>-</v>
      </c>
      <c r="M46" s="34">
        <f t="shared" si="0"/>
        <v>832</v>
      </c>
    </row>
    <row r="47" spans="1:13" x14ac:dyDescent="0.35">
      <c r="A47" t="s">
        <v>79</v>
      </c>
      <c r="B47" t="str">
        <f>_xlfn.XLOOKUP(A47,'2013'!A:A,'2013'!N:N,"-")</f>
        <v>-</v>
      </c>
      <c r="C47" t="str">
        <f>_xlfn.XLOOKUP(A47,'2014'!A:A,'2014'!N:N,"-")</f>
        <v>-</v>
      </c>
      <c r="D47" t="str">
        <f>_xlfn.XLOOKUP(A47,'2015'!A:A,'2015'!N:N,"-")</f>
        <v>-</v>
      </c>
      <c r="E47" t="str">
        <f>_xlfn.XLOOKUP(A47,'2016'!A:A,'2016'!N:N,"-")</f>
        <v>-</v>
      </c>
      <c r="F47" t="str">
        <f>_xlfn.XLOOKUP(A47,'2017'!A:A,'2017'!N:N,"-")</f>
        <v>-</v>
      </c>
      <c r="G47" t="str">
        <f>_xlfn.XLOOKUP(A47,'2018'!A:A,'2018'!N:N,"-")</f>
        <v>-</v>
      </c>
      <c r="H47" t="str">
        <f>_xlfn.XLOOKUP(A47,'2019'!A:A,'2019'!N:N,"-")</f>
        <v>-</v>
      </c>
      <c r="I47">
        <f>_xlfn.XLOOKUP(A47,'2020'!A:A,'2020'!N:N,"-")</f>
        <v>71</v>
      </c>
      <c r="J47">
        <f>_xlfn.XLOOKUP(A47,'2021'!A:A,'2021'!N:N,"-")</f>
        <v>1</v>
      </c>
      <c r="K47" t="str">
        <f>_xlfn.XLOOKUP(A47,'2025'!A:A,'2025'!N:N,"-")</f>
        <v>-</v>
      </c>
      <c r="L47" t="str">
        <f>_xlfn.XLOOKUP(A47,'2026'!A:A,'2026'!N:N,"-")</f>
        <v>-</v>
      </c>
      <c r="M47" s="34">
        <f t="shared" si="0"/>
        <v>72</v>
      </c>
    </row>
    <row r="48" spans="1:13" x14ac:dyDescent="0.35">
      <c r="A48" t="s">
        <v>81</v>
      </c>
      <c r="B48" t="str">
        <f>_xlfn.XLOOKUP(A48,'2013'!A:A,'2013'!N:N,"-")</f>
        <v>-</v>
      </c>
      <c r="C48" t="str">
        <f>_xlfn.XLOOKUP(A48,'2014'!A:A,'2014'!N:N,"-")</f>
        <v>-</v>
      </c>
      <c r="D48" t="str">
        <f>_xlfn.XLOOKUP(A48,'2015'!A:A,'2015'!N:N,"-")</f>
        <v>-</v>
      </c>
      <c r="E48" t="str">
        <f>_xlfn.XLOOKUP(A48,'2016'!A:A,'2016'!N:N,"-")</f>
        <v>-</v>
      </c>
      <c r="F48" t="str">
        <f>_xlfn.XLOOKUP(A48,'2017'!A:A,'2017'!N:N,"-")</f>
        <v>-</v>
      </c>
      <c r="G48" t="str">
        <f>_xlfn.XLOOKUP(A48,'2018'!A:A,'2018'!N:N,"-")</f>
        <v>-</v>
      </c>
      <c r="H48" t="str">
        <f>_xlfn.XLOOKUP(A48,'2019'!A:A,'2019'!N:N,"-")</f>
        <v>-</v>
      </c>
      <c r="I48">
        <f>_xlfn.XLOOKUP(A48,'2020'!A:A,'2020'!N:N,"-")</f>
        <v>54</v>
      </c>
      <c r="J48">
        <f>_xlfn.XLOOKUP(A48,'2021'!A:A,'2021'!N:N,"-")</f>
        <v>2</v>
      </c>
      <c r="K48" t="str">
        <f>_xlfn.XLOOKUP(A48,'2025'!A:A,'2025'!N:N,"-")</f>
        <v>-</v>
      </c>
      <c r="L48" t="str">
        <f>_xlfn.XLOOKUP(A48,'2026'!A:A,'2026'!N:N,"-")</f>
        <v>-</v>
      </c>
      <c r="M48" s="34">
        <f t="shared" si="0"/>
        <v>56</v>
      </c>
    </row>
    <row r="49" spans="1:13" x14ac:dyDescent="0.35">
      <c r="A49" t="s">
        <v>82</v>
      </c>
      <c r="B49" t="str">
        <f>_xlfn.XLOOKUP(A49,'2013'!A:A,'2013'!N:N,"-")</f>
        <v>-</v>
      </c>
      <c r="C49" t="str">
        <f>_xlfn.XLOOKUP(A49,'2014'!A:A,'2014'!N:N,"-")</f>
        <v>-</v>
      </c>
      <c r="D49" t="str">
        <f>_xlfn.XLOOKUP(A49,'2015'!A:A,'2015'!N:N,"-")</f>
        <v>-</v>
      </c>
      <c r="E49" t="str">
        <f>_xlfn.XLOOKUP(A49,'2016'!A:A,'2016'!N:N,"-")</f>
        <v>-</v>
      </c>
      <c r="F49" t="str">
        <f>_xlfn.XLOOKUP(A49,'2017'!A:A,'2017'!N:N,"-")</f>
        <v>-</v>
      </c>
      <c r="G49" t="str">
        <f>_xlfn.XLOOKUP(A49,'2018'!A:A,'2018'!N:N,"-")</f>
        <v>-</v>
      </c>
      <c r="H49" t="str">
        <f>_xlfn.XLOOKUP(A49,'2019'!A:A,'2019'!N:N,"-")</f>
        <v>-</v>
      </c>
      <c r="I49">
        <f>_xlfn.XLOOKUP(A49,'2020'!A:A,'2020'!N:N,"-")</f>
        <v>17</v>
      </c>
      <c r="J49" t="str">
        <f>_xlfn.XLOOKUP(A49,'2021'!A:A,'2021'!N:N,"-")</f>
        <v>-</v>
      </c>
      <c r="K49" t="str">
        <f>_xlfn.XLOOKUP(A49,'2025'!A:A,'2025'!N:N,"-")</f>
        <v>-</v>
      </c>
      <c r="L49" t="str">
        <f>_xlfn.XLOOKUP(A49,'2026'!A:A,'2026'!N:N,"-")</f>
        <v>-</v>
      </c>
      <c r="M49" s="34">
        <f t="shared" si="0"/>
        <v>17</v>
      </c>
    </row>
    <row r="50" spans="1:13" x14ac:dyDescent="0.35">
      <c r="A50" t="s">
        <v>80</v>
      </c>
      <c r="B50" t="str">
        <f>_xlfn.XLOOKUP(A50,'2013'!A:A,'2013'!N:N,"-")</f>
        <v>-</v>
      </c>
      <c r="C50" t="str">
        <f>_xlfn.XLOOKUP(A50,'2014'!A:A,'2014'!N:N,"-")</f>
        <v>-</v>
      </c>
      <c r="D50" t="str">
        <f>_xlfn.XLOOKUP(A50,'2015'!A:A,'2015'!N:N,"-")</f>
        <v>-</v>
      </c>
      <c r="E50" t="str">
        <f>_xlfn.XLOOKUP(A50,'2016'!A:A,'2016'!N:N,"-")</f>
        <v>-</v>
      </c>
      <c r="F50" t="str">
        <f>_xlfn.XLOOKUP(A50,'2017'!A:A,'2017'!N:N,"-")</f>
        <v>-</v>
      </c>
      <c r="G50" t="str">
        <f>_xlfn.XLOOKUP(A50,'2018'!A:A,'2018'!N:N,"-")</f>
        <v>-</v>
      </c>
      <c r="H50" t="str">
        <f>_xlfn.XLOOKUP(A50,'2019'!A:A,'2019'!N:N,"-")</f>
        <v>-</v>
      </c>
      <c r="I50" t="str">
        <f>_xlfn.XLOOKUP(A50,'2020'!A:A,'2020'!N:N,"-")</f>
        <v>-</v>
      </c>
      <c r="J50">
        <f>_xlfn.XLOOKUP(A50,'2021'!A:A,'2021'!N:N,"-")</f>
        <v>1</v>
      </c>
      <c r="K50" t="str">
        <f>_xlfn.XLOOKUP(A50,'2025'!A:A,'2025'!N:N,"-")</f>
        <v>-</v>
      </c>
      <c r="L50" t="str">
        <f>_xlfn.XLOOKUP(A50,'2026'!A:A,'2026'!N:N,"-")</f>
        <v>-</v>
      </c>
      <c r="M50" s="34">
        <f t="shared" si="0"/>
        <v>1</v>
      </c>
    </row>
    <row r="51" spans="1:13" x14ac:dyDescent="0.35">
      <c r="A51" t="s">
        <v>84</v>
      </c>
      <c r="B51" t="str">
        <f>_xlfn.XLOOKUP(A51,'2013'!A:A,'2013'!N:N,"-")</f>
        <v>-</v>
      </c>
      <c r="C51" t="str">
        <f>_xlfn.XLOOKUP(A51,'2014'!A:A,'2014'!N:N,"-")</f>
        <v>-</v>
      </c>
      <c r="D51" t="str">
        <f>_xlfn.XLOOKUP(A51,'2015'!A:A,'2015'!N:N,"-")</f>
        <v>-</v>
      </c>
      <c r="E51" t="str">
        <f>_xlfn.XLOOKUP(A51,'2016'!A:A,'2016'!N:N,"-")</f>
        <v>-</v>
      </c>
      <c r="F51" t="str">
        <f>_xlfn.XLOOKUP(A51,'2017'!A:A,'2017'!N:N,"-")</f>
        <v>-</v>
      </c>
      <c r="G51" t="str">
        <f>_xlfn.XLOOKUP(A51,'2018'!A:A,'2018'!N:N,"-")</f>
        <v>-</v>
      </c>
      <c r="H51" t="str">
        <f>_xlfn.XLOOKUP(A51,'2019'!A:A,'2019'!N:N,"-")</f>
        <v>-</v>
      </c>
      <c r="I51" t="str">
        <f>_xlfn.XLOOKUP(A51,'2020'!A:A,'2020'!N:N,"-")</f>
        <v>-</v>
      </c>
      <c r="J51" t="str">
        <f>_xlfn.XLOOKUP(A51,'2021'!A:A,'2021'!N:N,"-")</f>
        <v>-</v>
      </c>
      <c r="K51">
        <f>_xlfn.XLOOKUP(A51,'2025'!A:A,'2025'!N:N,"-")</f>
        <v>4922</v>
      </c>
      <c r="L51">
        <f>_xlfn.XLOOKUP(A51,'2026'!A:A,'2026'!N:N,"-")</f>
        <v>615</v>
      </c>
      <c r="M51" s="34">
        <f t="shared" si="0"/>
        <v>5537</v>
      </c>
    </row>
    <row r="52" spans="1:13" x14ac:dyDescent="0.35">
      <c r="A52" t="s">
        <v>85</v>
      </c>
      <c r="B52" t="str">
        <f>_xlfn.XLOOKUP(A52,'2013'!A:A,'2013'!N:N,"-")</f>
        <v>-</v>
      </c>
      <c r="C52" t="str">
        <f>_xlfn.XLOOKUP(A52,'2014'!A:A,'2014'!N:N,"-")</f>
        <v>-</v>
      </c>
      <c r="D52" t="str">
        <f>_xlfn.XLOOKUP(A52,'2015'!A:A,'2015'!N:N,"-")</f>
        <v>-</v>
      </c>
      <c r="E52" t="str">
        <f>_xlfn.XLOOKUP(A52,'2016'!A:A,'2016'!N:N,"-")</f>
        <v>-</v>
      </c>
      <c r="F52" t="str">
        <f>_xlfn.XLOOKUP(A52,'2017'!A:A,'2017'!N:N,"-")</f>
        <v>-</v>
      </c>
      <c r="G52" t="str">
        <f>_xlfn.XLOOKUP(A52,'2018'!A:A,'2018'!N:N,"-")</f>
        <v>-</v>
      </c>
      <c r="H52" t="str">
        <f>_xlfn.XLOOKUP(A52,'2019'!A:A,'2019'!N:N,"-")</f>
        <v>-</v>
      </c>
      <c r="I52" t="str">
        <f>_xlfn.XLOOKUP(A52,'2020'!A:A,'2020'!N:N,"-")</f>
        <v>-</v>
      </c>
      <c r="J52" t="str">
        <f>_xlfn.XLOOKUP(A52,'2021'!A:A,'2021'!N:N,"-")</f>
        <v>-</v>
      </c>
      <c r="K52">
        <f>_xlfn.XLOOKUP(A52,'2025'!A:A,'2025'!N:N,"-")</f>
        <v>4073</v>
      </c>
      <c r="L52">
        <f>_xlfn.XLOOKUP(A52,'2026'!A:A,'2026'!N:N,"-")</f>
        <v>225</v>
      </c>
      <c r="M52" s="34">
        <f t="shared" si="0"/>
        <v>4298</v>
      </c>
    </row>
    <row r="53" spans="1:13" x14ac:dyDescent="0.35">
      <c r="A53" t="s">
        <v>86</v>
      </c>
      <c r="B53" t="str">
        <f>_xlfn.XLOOKUP(A53,'2013'!A:A,'2013'!N:N,"-")</f>
        <v>-</v>
      </c>
      <c r="C53" t="str">
        <f>_xlfn.XLOOKUP(A53,'2014'!A:A,'2014'!N:N,"-")</f>
        <v>-</v>
      </c>
      <c r="D53" t="str">
        <f>_xlfn.XLOOKUP(A53,'2015'!A:A,'2015'!N:N,"-")</f>
        <v>-</v>
      </c>
      <c r="E53" t="str">
        <f>_xlfn.XLOOKUP(A53,'2016'!A:A,'2016'!N:N,"-")</f>
        <v>-</v>
      </c>
      <c r="F53" t="str">
        <f>_xlfn.XLOOKUP(A53,'2017'!A:A,'2017'!N:N,"-")</f>
        <v>-</v>
      </c>
      <c r="G53" t="str">
        <f>_xlfn.XLOOKUP(A53,'2018'!A:A,'2018'!N:N,"-")</f>
        <v>-</v>
      </c>
      <c r="H53" t="str">
        <f>_xlfn.XLOOKUP(A53,'2019'!A:A,'2019'!N:N,"-")</f>
        <v>-</v>
      </c>
      <c r="I53" t="str">
        <f>_xlfn.XLOOKUP(A53,'2020'!A:A,'2020'!N:N,"-")</f>
        <v>-</v>
      </c>
      <c r="J53" t="str">
        <f>_xlfn.XLOOKUP(A53,'2021'!A:A,'2021'!N:N,"-")</f>
        <v>-</v>
      </c>
      <c r="K53">
        <f>_xlfn.XLOOKUP(A53,'2025'!A:A,'2025'!N:N,"-")</f>
        <v>745</v>
      </c>
      <c r="L53">
        <f>_xlfn.XLOOKUP(A53,'2026'!A:A,'2026'!N:N,"-")</f>
        <v>263</v>
      </c>
      <c r="M53" s="34">
        <f t="shared" si="0"/>
        <v>1008</v>
      </c>
    </row>
    <row r="54" spans="1:13" x14ac:dyDescent="0.35">
      <c r="A54" t="s">
        <v>87</v>
      </c>
      <c r="B54" t="str">
        <f>_xlfn.XLOOKUP(A54,'2013'!A:A,'2013'!N:N,"-")</f>
        <v>-</v>
      </c>
      <c r="C54" t="str">
        <f>_xlfn.XLOOKUP(A54,'2014'!A:A,'2014'!N:N,"-")</f>
        <v>-</v>
      </c>
      <c r="D54" t="str">
        <f>_xlfn.XLOOKUP(A54,'2015'!A:A,'2015'!N:N,"-")</f>
        <v>-</v>
      </c>
      <c r="E54" t="str">
        <f>_xlfn.XLOOKUP(A54,'2016'!A:A,'2016'!N:N,"-")</f>
        <v>-</v>
      </c>
      <c r="F54" t="str">
        <f>_xlfn.XLOOKUP(A54,'2017'!A:A,'2017'!N:N,"-")</f>
        <v>-</v>
      </c>
      <c r="G54" t="str">
        <f>_xlfn.XLOOKUP(A54,'2018'!A:A,'2018'!N:N,"-")</f>
        <v>-</v>
      </c>
      <c r="H54" t="str">
        <f>_xlfn.XLOOKUP(A54,'2019'!A:A,'2019'!N:N,"-")</f>
        <v>-</v>
      </c>
      <c r="I54" t="str">
        <f>_xlfn.XLOOKUP(A54,'2020'!A:A,'2020'!N:N,"-")</f>
        <v>-</v>
      </c>
      <c r="J54" t="str">
        <f>_xlfn.XLOOKUP(A54,'2021'!A:A,'2021'!N:N,"-")</f>
        <v>-</v>
      </c>
      <c r="K54">
        <f>_xlfn.XLOOKUP(A54,'2025'!A:A,'2025'!N:N,"-")</f>
        <v>3434</v>
      </c>
      <c r="L54">
        <f>_xlfn.XLOOKUP(A54,'2026'!A:A,'2026'!N:N,"-")</f>
        <v>853</v>
      </c>
      <c r="M54" s="34">
        <f t="shared" si="0"/>
        <v>4287</v>
      </c>
    </row>
    <row r="55" spans="1:13" x14ac:dyDescent="0.35">
      <c r="A55" t="s">
        <v>88</v>
      </c>
      <c r="B55" t="str">
        <f>_xlfn.XLOOKUP(A55,'2013'!A:A,'2013'!N:N,"-")</f>
        <v>-</v>
      </c>
      <c r="C55" t="str">
        <f>_xlfn.XLOOKUP(A55,'2014'!A:A,'2014'!N:N,"-")</f>
        <v>-</v>
      </c>
      <c r="D55" t="str">
        <f>_xlfn.XLOOKUP(A55,'2015'!A:A,'2015'!N:N,"-")</f>
        <v>-</v>
      </c>
      <c r="E55" t="str">
        <f>_xlfn.XLOOKUP(A55,'2016'!A:A,'2016'!N:N,"-")</f>
        <v>-</v>
      </c>
      <c r="F55" t="str">
        <f>_xlfn.XLOOKUP(A55,'2017'!A:A,'2017'!N:N,"-")</f>
        <v>-</v>
      </c>
      <c r="G55" t="str">
        <f>_xlfn.XLOOKUP(A55,'2018'!A:A,'2018'!N:N,"-")</f>
        <v>-</v>
      </c>
      <c r="H55" t="str">
        <f>_xlfn.XLOOKUP(A55,'2019'!A:A,'2019'!N:N,"-")</f>
        <v>-</v>
      </c>
      <c r="I55" t="str">
        <f>_xlfn.XLOOKUP(A55,'2020'!A:A,'2020'!N:N,"-")</f>
        <v>-</v>
      </c>
      <c r="J55" t="str">
        <f>_xlfn.XLOOKUP(A55,'2021'!A:A,'2021'!N:N,"-")</f>
        <v>-</v>
      </c>
      <c r="K55">
        <f>_xlfn.XLOOKUP(A55,'2025'!A:A,'2025'!N:N,"-")</f>
        <v>2325</v>
      </c>
      <c r="L55">
        <f>_xlfn.XLOOKUP(A55,'2026'!A:A,'2026'!N:N,"-")</f>
        <v>444</v>
      </c>
      <c r="M55" s="34">
        <f t="shared" si="0"/>
        <v>2769</v>
      </c>
    </row>
    <row r="56" spans="1:13" x14ac:dyDescent="0.35">
      <c r="A56" t="s">
        <v>89</v>
      </c>
      <c r="B56" t="str">
        <f>_xlfn.XLOOKUP(A56,'2013'!A:A,'2013'!N:N,"-")</f>
        <v>-</v>
      </c>
      <c r="C56" t="str">
        <f>_xlfn.XLOOKUP(A56,'2014'!A:A,'2014'!N:N,"-")</f>
        <v>-</v>
      </c>
      <c r="D56" t="str">
        <f>_xlfn.XLOOKUP(A56,'2015'!A:A,'2015'!N:N,"-")</f>
        <v>-</v>
      </c>
      <c r="E56" t="str">
        <f>_xlfn.XLOOKUP(A56,'2016'!A:A,'2016'!N:N,"-")</f>
        <v>-</v>
      </c>
      <c r="F56" t="str">
        <f>_xlfn.XLOOKUP(A56,'2017'!A:A,'2017'!N:N,"-")</f>
        <v>-</v>
      </c>
      <c r="G56" t="str">
        <f>_xlfn.XLOOKUP(A56,'2018'!A:A,'2018'!N:N,"-")</f>
        <v>-</v>
      </c>
      <c r="H56" t="str">
        <f>_xlfn.XLOOKUP(A56,'2019'!A:A,'2019'!N:N,"-")</f>
        <v>-</v>
      </c>
      <c r="I56" t="str">
        <f>_xlfn.XLOOKUP(A56,'2020'!A:A,'2020'!N:N,"-")</f>
        <v>-</v>
      </c>
      <c r="J56" t="str">
        <f>_xlfn.XLOOKUP(A56,'2021'!A:A,'2021'!N:N,"-")</f>
        <v>-</v>
      </c>
      <c r="K56">
        <f>_xlfn.XLOOKUP(A56,'2025'!A:A,'2025'!N:N,"-")</f>
        <v>2780</v>
      </c>
      <c r="L56">
        <f>_xlfn.XLOOKUP(A56,'2026'!A:A,'2026'!N:N,"-")</f>
        <v>314</v>
      </c>
      <c r="M56" s="34">
        <f t="shared" si="0"/>
        <v>3094</v>
      </c>
    </row>
    <row r="57" spans="1:13" x14ac:dyDescent="0.35">
      <c r="A57" t="s">
        <v>90</v>
      </c>
      <c r="B57" t="str">
        <f>_xlfn.XLOOKUP(A57,'2013'!A:A,'2013'!N:N,"-")</f>
        <v>-</v>
      </c>
      <c r="C57" t="str">
        <f>_xlfn.XLOOKUP(A57,'2014'!A:A,'2014'!N:N,"-")</f>
        <v>-</v>
      </c>
      <c r="D57" t="str">
        <f>_xlfn.XLOOKUP(A57,'2015'!A:A,'2015'!N:N,"-")</f>
        <v>-</v>
      </c>
      <c r="E57" t="str">
        <f>_xlfn.XLOOKUP(A57,'2016'!A:A,'2016'!N:N,"-")</f>
        <v>-</v>
      </c>
      <c r="F57" t="str">
        <f>_xlfn.XLOOKUP(A57,'2017'!A:A,'2017'!N:N,"-")</f>
        <v>-</v>
      </c>
      <c r="G57" t="str">
        <f>_xlfn.XLOOKUP(A57,'2018'!A:A,'2018'!N:N,"-")</f>
        <v>-</v>
      </c>
      <c r="H57" t="str">
        <f>_xlfn.XLOOKUP(A57,'2019'!A:A,'2019'!N:N,"-")</f>
        <v>-</v>
      </c>
      <c r="I57" t="str">
        <f>_xlfn.XLOOKUP(A57,'2020'!A:A,'2020'!N:N,"-")</f>
        <v>-</v>
      </c>
      <c r="J57" t="str">
        <f>_xlfn.XLOOKUP(A57,'2021'!A:A,'2021'!N:N,"-")</f>
        <v>-</v>
      </c>
      <c r="K57">
        <f>_xlfn.XLOOKUP(A57,'2025'!A:A,'2025'!N:N,"-")</f>
        <v>1305</v>
      </c>
      <c r="L57">
        <f>_xlfn.XLOOKUP(A57,'2026'!A:A,'2026'!N:N,"-")</f>
        <v>217</v>
      </c>
      <c r="M57" s="34">
        <f t="shared" si="0"/>
        <v>1522</v>
      </c>
    </row>
  </sheetData>
  <autoFilter ref="M1:M57" xr:uid="{0951B4C7-63C4-4778-BD4A-33239D1D2875}"/>
  <conditionalFormatting sqref="A151:A1048576 A2:A50">
    <cfRule type="duplicateValues" dxfId="0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453C3-C18E-41D4-83D8-E7E94EB442A6}">
  <dimension ref="A1:N10"/>
  <sheetViews>
    <sheetView workbookViewId="0">
      <selection activeCell="A5" sqref="A5"/>
    </sheetView>
  </sheetViews>
  <sheetFormatPr defaultRowHeight="14.5" x14ac:dyDescent="0.35"/>
  <cols>
    <col min="1" max="1" width="16.7265625" customWidth="1"/>
  </cols>
  <sheetData>
    <row r="1" spans="1:14" x14ac:dyDescent="0.35">
      <c r="A1" s="29"/>
      <c r="B1" s="2" t="s">
        <v>47</v>
      </c>
      <c r="C1" s="10" t="s">
        <v>48</v>
      </c>
      <c r="D1" s="11" t="s">
        <v>49</v>
      </c>
      <c r="E1" s="10" t="s">
        <v>50</v>
      </c>
      <c r="F1" s="2" t="s">
        <v>34</v>
      </c>
      <c r="G1" s="10" t="s">
        <v>35</v>
      </c>
      <c r="H1" s="11" t="s">
        <v>36</v>
      </c>
      <c r="I1" s="10" t="s">
        <v>37</v>
      </c>
      <c r="J1" s="2" t="s">
        <v>38</v>
      </c>
      <c r="K1" s="10" t="s">
        <v>39</v>
      </c>
      <c r="L1" s="11" t="s">
        <v>40</v>
      </c>
      <c r="M1" s="10" t="s">
        <v>41</v>
      </c>
      <c r="N1" s="8" t="s">
        <v>51</v>
      </c>
    </row>
    <row r="2" spans="1:14" x14ac:dyDescent="0.35">
      <c r="A2" s="20" t="s">
        <v>84</v>
      </c>
      <c r="B2" s="20">
        <v>615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>
        <f t="shared" ref="N2:N10" si="0">M2+L2+K2+J2+I2+H2+G2+F2+E2+D2+C2+B2</f>
        <v>615</v>
      </c>
    </row>
    <row r="3" spans="1:14" x14ac:dyDescent="0.35">
      <c r="A3" s="20" t="s">
        <v>85</v>
      </c>
      <c r="B3" s="20">
        <v>225</v>
      </c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>
        <f t="shared" si="0"/>
        <v>225</v>
      </c>
    </row>
    <row r="4" spans="1:14" x14ac:dyDescent="0.35">
      <c r="A4" s="20" t="s">
        <v>86</v>
      </c>
      <c r="B4" s="20">
        <v>263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>
        <f t="shared" si="0"/>
        <v>263</v>
      </c>
    </row>
    <row r="5" spans="1:14" x14ac:dyDescent="0.35">
      <c r="A5" s="20" t="s">
        <v>77</v>
      </c>
      <c r="B5" s="20">
        <v>243</v>
      </c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>
        <f t="shared" si="0"/>
        <v>243</v>
      </c>
    </row>
    <row r="6" spans="1:14" x14ac:dyDescent="0.35">
      <c r="A6" s="20" t="s">
        <v>98</v>
      </c>
      <c r="B6" s="20">
        <v>81</v>
      </c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>
        <f t="shared" si="0"/>
        <v>81</v>
      </c>
    </row>
    <row r="7" spans="1:14" x14ac:dyDescent="0.35">
      <c r="A7" s="20" t="s">
        <v>87</v>
      </c>
      <c r="B7" s="20">
        <v>853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>
        <f t="shared" si="0"/>
        <v>853</v>
      </c>
    </row>
    <row r="8" spans="1:14" x14ac:dyDescent="0.35">
      <c r="A8" s="20" t="s">
        <v>88</v>
      </c>
      <c r="B8" s="20">
        <v>444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>
        <f t="shared" si="0"/>
        <v>444</v>
      </c>
    </row>
    <row r="9" spans="1:14" x14ac:dyDescent="0.35">
      <c r="A9" s="20" t="s">
        <v>89</v>
      </c>
      <c r="B9" s="20">
        <v>314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>
        <f t="shared" si="0"/>
        <v>314</v>
      </c>
    </row>
    <row r="10" spans="1:14" x14ac:dyDescent="0.35">
      <c r="A10" s="20" t="s">
        <v>90</v>
      </c>
      <c r="B10" s="20">
        <v>217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>
        <f t="shared" si="0"/>
        <v>217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D2E04-9776-4F09-B63A-7D84CF069419}">
  <dimension ref="A1:N10"/>
  <sheetViews>
    <sheetView zoomScale="90" zoomScaleNormal="90" workbookViewId="0">
      <selection activeCell="N2" sqref="N2:N10"/>
    </sheetView>
  </sheetViews>
  <sheetFormatPr defaultRowHeight="14.5" x14ac:dyDescent="0.35"/>
  <cols>
    <col min="1" max="1" width="18.1796875" customWidth="1"/>
  </cols>
  <sheetData>
    <row r="1" spans="1:14" x14ac:dyDescent="0.35">
      <c r="A1" s="29"/>
      <c r="B1" s="2" t="s">
        <v>47</v>
      </c>
      <c r="C1" s="10" t="s">
        <v>48</v>
      </c>
      <c r="D1" s="11" t="s">
        <v>49</v>
      </c>
      <c r="E1" s="10" t="s">
        <v>50</v>
      </c>
      <c r="F1" s="2" t="s">
        <v>34</v>
      </c>
      <c r="G1" s="10" t="s">
        <v>35</v>
      </c>
      <c r="H1" s="11" t="s">
        <v>36</v>
      </c>
      <c r="I1" s="10" t="s">
        <v>37</v>
      </c>
      <c r="J1" s="2" t="s">
        <v>38</v>
      </c>
      <c r="K1" s="10" t="s">
        <v>39</v>
      </c>
      <c r="L1" s="11" t="s">
        <v>40</v>
      </c>
      <c r="M1" s="10" t="s">
        <v>41</v>
      </c>
      <c r="N1" s="8" t="s">
        <v>51</v>
      </c>
    </row>
    <row r="2" spans="1:14" x14ac:dyDescent="0.35">
      <c r="A2" s="20" t="s">
        <v>84</v>
      </c>
      <c r="B2" s="20"/>
      <c r="C2" s="20"/>
      <c r="D2" s="20"/>
      <c r="E2" s="20"/>
      <c r="F2" s="20">
        <v>109</v>
      </c>
      <c r="G2" s="20">
        <v>468</v>
      </c>
      <c r="H2" s="20">
        <v>499</v>
      </c>
      <c r="I2" s="20">
        <v>1210</v>
      </c>
      <c r="J2" s="20">
        <v>447</v>
      </c>
      <c r="K2" s="20">
        <v>64</v>
      </c>
      <c r="L2" s="20">
        <v>870</v>
      </c>
      <c r="M2" s="20">
        <v>1255</v>
      </c>
      <c r="N2" s="20">
        <f t="shared" ref="N2:N10" si="0">M2+L2+K2+J2+I2+H2+G2+F2+E2+D2+C2+B2</f>
        <v>4922</v>
      </c>
    </row>
    <row r="3" spans="1:14" x14ac:dyDescent="0.35">
      <c r="A3" s="20" t="s">
        <v>85</v>
      </c>
      <c r="B3" s="20"/>
      <c r="C3" s="20"/>
      <c r="D3" s="20"/>
      <c r="E3" s="20">
        <v>1</v>
      </c>
      <c r="F3" s="20">
        <v>56</v>
      </c>
      <c r="G3" s="20">
        <v>314</v>
      </c>
      <c r="H3" s="20">
        <v>561</v>
      </c>
      <c r="I3" s="20">
        <v>713</v>
      </c>
      <c r="J3" s="20">
        <v>927</v>
      </c>
      <c r="K3" s="20">
        <v>346</v>
      </c>
      <c r="L3" s="20">
        <v>769</v>
      </c>
      <c r="M3" s="20">
        <v>386</v>
      </c>
      <c r="N3" s="20">
        <f t="shared" si="0"/>
        <v>4073</v>
      </c>
    </row>
    <row r="4" spans="1:14" x14ac:dyDescent="0.35">
      <c r="A4" s="20" t="s">
        <v>86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>
        <v>745</v>
      </c>
      <c r="N4" s="20">
        <f t="shared" si="0"/>
        <v>745</v>
      </c>
    </row>
    <row r="5" spans="1:14" x14ac:dyDescent="0.35">
      <c r="A5" s="20" t="s">
        <v>77</v>
      </c>
      <c r="B5" s="20"/>
      <c r="C5" s="20"/>
      <c r="D5" s="20"/>
      <c r="E5" s="20"/>
      <c r="F5" s="20">
        <v>71</v>
      </c>
      <c r="G5" s="20">
        <v>131</v>
      </c>
      <c r="H5" s="20">
        <v>127</v>
      </c>
      <c r="I5" s="20">
        <v>150</v>
      </c>
      <c r="J5" s="20">
        <v>436</v>
      </c>
      <c r="K5" s="20">
        <v>321</v>
      </c>
      <c r="L5" s="20">
        <v>65</v>
      </c>
      <c r="M5" s="20">
        <v>350</v>
      </c>
      <c r="N5" s="20">
        <f t="shared" si="0"/>
        <v>1651</v>
      </c>
    </row>
    <row r="6" spans="1:14" x14ac:dyDescent="0.35">
      <c r="A6" s="20" t="s">
        <v>98</v>
      </c>
      <c r="B6" s="20"/>
      <c r="C6" s="20"/>
      <c r="D6" s="20"/>
      <c r="E6" s="20"/>
      <c r="F6" s="20">
        <v>60</v>
      </c>
      <c r="G6" s="20">
        <v>45</v>
      </c>
      <c r="H6" s="20">
        <v>72</v>
      </c>
      <c r="I6" s="20">
        <v>80</v>
      </c>
      <c r="J6" s="20">
        <v>148</v>
      </c>
      <c r="K6" s="20">
        <v>270</v>
      </c>
      <c r="L6" s="20">
        <v>85</v>
      </c>
      <c r="M6" s="20">
        <v>89</v>
      </c>
      <c r="N6" s="20">
        <f t="shared" si="0"/>
        <v>849</v>
      </c>
    </row>
    <row r="7" spans="1:14" x14ac:dyDescent="0.35">
      <c r="A7" s="20" t="s">
        <v>87</v>
      </c>
      <c r="B7" s="20"/>
      <c r="C7" s="20"/>
      <c r="D7" s="20"/>
      <c r="E7" s="20"/>
      <c r="F7" s="20">
        <v>228</v>
      </c>
      <c r="G7" s="20">
        <v>174</v>
      </c>
      <c r="H7" s="20">
        <v>337</v>
      </c>
      <c r="I7" s="20">
        <v>406</v>
      </c>
      <c r="J7" s="20">
        <v>621</v>
      </c>
      <c r="K7" s="20">
        <v>378</v>
      </c>
      <c r="L7" s="20">
        <v>489</v>
      </c>
      <c r="M7" s="20">
        <v>801</v>
      </c>
      <c r="N7" s="20">
        <f t="shared" si="0"/>
        <v>3434</v>
      </c>
    </row>
    <row r="8" spans="1:14" x14ac:dyDescent="0.35">
      <c r="A8" s="20" t="s">
        <v>88</v>
      </c>
      <c r="B8" s="20"/>
      <c r="C8" s="20"/>
      <c r="D8" s="20"/>
      <c r="E8" s="20"/>
      <c r="F8" s="20">
        <v>122</v>
      </c>
      <c r="G8" s="20">
        <v>93</v>
      </c>
      <c r="H8" s="20">
        <v>184</v>
      </c>
      <c r="I8" s="20">
        <v>185</v>
      </c>
      <c r="J8" s="20">
        <v>423</v>
      </c>
      <c r="K8" s="20">
        <v>428</v>
      </c>
      <c r="L8" s="20">
        <v>327</v>
      </c>
      <c r="M8" s="20">
        <v>563</v>
      </c>
      <c r="N8" s="20">
        <f t="shared" si="0"/>
        <v>2325</v>
      </c>
    </row>
    <row r="9" spans="1:14" x14ac:dyDescent="0.35">
      <c r="A9" s="20" t="s">
        <v>89</v>
      </c>
      <c r="B9" s="20"/>
      <c r="C9" s="20"/>
      <c r="D9" s="20"/>
      <c r="E9" s="20"/>
      <c r="F9" s="20">
        <v>88</v>
      </c>
      <c r="G9" s="20">
        <v>356</v>
      </c>
      <c r="H9" s="20">
        <v>336</v>
      </c>
      <c r="I9" s="20">
        <v>476</v>
      </c>
      <c r="J9" s="20">
        <v>407</v>
      </c>
      <c r="K9" s="20">
        <v>286</v>
      </c>
      <c r="L9" s="20">
        <v>498</v>
      </c>
      <c r="M9" s="20">
        <v>333</v>
      </c>
      <c r="N9" s="20">
        <f t="shared" si="0"/>
        <v>2780</v>
      </c>
    </row>
    <row r="10" spans="1:14" x14ac:dyDescent="0.35">
      <c r="A10" s="20" t="s">
        <v>90</v>
      </c>
      <c r="B10" s="20"/>
      <c r="C10" s="20"/>
      <c r="D10" s="20"/>
      <c r="E10" s="20"/>
      <c r="F10" s="20"/>
      <c r="G10" s="20">
        <v>159</v>
      </c>
      <c r="H10" s="20">
        <v>227</v>
      </c>
      <c r="I10" s="20">
        <v>336</v>
      </c>
      <c r="J10" s="20">
        <v>116</v>
      </c>
      <c r="K10" s="20">
        <v>30</v>
      </c>
      <c r="L10" s="20">
        <v>161</v>
      </c>
      <c r="M10" s="20">
        <v>276</v>
      </c>
      <c r="N10" s="20">
        <f t="shared" si="0"/>
        <v>1305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01825-FF00-4C89-948F-225074E42D1A}">
  <dimension ref="A1:N18"/>
  <sheetViews>
    <sheetView zoomScale="70" zoomScaleNormal="70" workbookViewId="0">
      <pane xSplit="1" ySplit="1" topLeftCell="B2" activePane="bottomRight" state="frozen"/>
      <selection pane="topRight" activeCell="C1" sqref="C1"/>
      <selection pane="bottomLeft" activeCell="A4" sqref="A4"/>
      <selection pane="bottomRight" activeCell="A2" sqref="A2:A18"/>
    </sheetView>
  </sheetViews>
  <sheetFormatPr defaultColWidth="9" defaultRowHeight="14" x14ac:dyDescent="0.35"/>
  <cols>
    <col min="1" max="1" width="29.1796875" style="27" customWidth="1"/>
    <col min="2" max="5" width="9.1796875" style="27" customWidth="1"/>
    <col min="6" max="6" width="9.54296875" style="27" customWidth="1"/>
    <col min="7" max="7" width="9.1796875" style="27" bestFit="1" customWidth="1"/>
    <col min="8" max="9" width="9.1796875" style="27" customWidth="1"/>
    <col min="10" max="10" width="9.453125" style="27" bestFit="1" customWidth="1"/>
    <col min="11" max="13" width="9.1796875" style="27" customWidth="1"/>
    <col min="14" max="14" width="10.7265625" style="27" customWidth="1"/>
    <col min="15" max="16384" width="9" style="27"/>
  </cols>
  <sheetData>
    <row r="1" spans="1:14" x14ac:dyDescent="0.3">
      <c r="A1" s="29"/>
      <c r="B1" s="2" t="s">
        <v>47</v>
      </c>
      <c r="C1" s="10" t="s">
        <v>48</v>
      </c>
      <c r="D1" s="11" t="s">
        <v>49</v>
      </c>
      <c r="E1" s="10" t="s">
        <v>50</v>
      </c>
      <c r="F1" s="2" t="s">
        <v>34</v>
      </c>
      <c r="G1" s="10" t="s">
        <v>35</v>
      </c>
      <c r="H1" s="11" t="s">
        <v>36</v>
      </c>
      <c r="I1" s="10" t="s">
        <v>37</v>
      </c>
      <c r="J1" s="2" t="s">
        <v>38</v>
      </c>
      <c r="K1" s="10" t="s">
        <v>39</v>
      </c>
      <c r="L1" s="11" t="s">
        <v>40</v>
      </c>
      <c r="M1" s="10" t="s">
        <v>41</v>
      </c>
      <c r="N1" s="8" t="s">
        <v>51</v>
      </c>
    </row>
    <row r="2" spans="1:14" x14ac:dyDescent="0.35">
      <c r="A2" s="20" t="s">
        <v>52</v>
      </c>
      <c r="B2" s="20">
        <v>1</v>
      </c>
      <c r="C2" s="20">
        <v>1</v>
      </c>
      <c r="D2" s="20"/>
      <c r="E2" s="20">
        <v>1</v>
      </c>
      <c r="F2" s="20"/>
      <c r="G2" s="20"/>
      <c r="H2" s="20"/>
      <c r="I2" s="20"/>
      <c r="J2" s="20"/>
      <c r="K2" s="20"/>
      <c r="L2" s="20"/>
      <c r="M2" s="20"/>
      <c r="N2" s="20">
        <f t="shared" ref="N2:N18" si="0">M2+L2+K2+J2+I2+H2+G2+F2+E2+D2+C2+B2</f>
        <v>3</v>
      </c>
    </row>
    <row r="3" spans="1:14" x14ac:dyDescent="0.35">
      <c r="A3" s="20" t="s">
        <v>55</v>
      </c>
      <c r="B3" s="20"/>
      <c r="C3" s="20"/>
      <c r="D3" s="20">
        <v>2</v>
      </c>
      <c r="E3" s="20"/>
      <c r="F3" s="20"/>
      <c r="G3" s="20"/>
      <c r="H3" s="20"/>
      <c r="I3" s="20"/>
      <c r="J3" s="20"/>
      <c r="K3" s="20"/>
      <c r="L3" s="20"/>
      <c r="M3" s="20"/>
      <c r="N3" s="20">
        <f t="shared" si="0"/>
        <v>2</v>
      </c>
    </row>
    <row r="4" spans="1:14" x14ac:dyDescent="0.35">
      <c r="A4" s="20" t="s">
        <v>70</v>
      </c>
      <c r="B4" s="20"/>
      <c r="C4" s="20"/>
      <c r="D4" s="20">
        <v>1</v>
      </c>
      <c r="E4" s="20"/>
      <c r="F4" s="20"/>
      <c r="G4" s="20"/>
      <c r="H4" s="20"/>
      <c r="I4" s="20"/>
      <c r="J4" s="20"/>
      <c r="K4" s="20"/>
      <c r="L4" s="20"/>
      <c r="M4" s="20"/>
      <c r="N4" s="20">
        <f t="shared" si="0"/>
        <v>1</v>
      </c>
    </row>
    <row r="5" spans="1:14" s="28" customFormat="1" x14ac:dyDescent="0.35">
      <c r="A5" s="20" t="s">
        <v>57</v>
      </c>
      <c r="B5" s="20">
        <v>1</v>
      </c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>
        <f t="shared" si="0"/>
        <v>1</v>
      </c>
    </row>
    <row r="6" spans="1:14" x14ac:dyDescent="0.35">
      <c r="A6" s="20" t="s">
        <v>58</v>
      </c>
      <c r="B6" s="20">
        <v>7</v>
      </c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>
        <f t="shared" si="0"/>
        <v>7</v>
      </c>
    </row>
    <row r="7" spans="1:14" x14ac:dyDescent="0.35">
      <c r="A7" s="20" t="s">
        <v>77</v>
      </c>
      <c r="B7" s="20">
        <v>4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>
        <f t="shared" si="0"/>
        <v>4</v>
      </c>
    </row>
    <row r="8" spans="1:14" x14ac:dyDescent="0.35">
      <c r="A8" s="20" t="s">
        <v>71</v>
      </c>
      <c r="B8" s="20">
        <v>8</v>
      </c>
      <c r="C8" s="20"/>
      <c r="D8" s="20">
        <v>10</v>
      </c>
      <c r="E8" s="20"/>
      <c r="F8" s="20"/>
      <c r="G8" s="20"/>
      <c r="H8" s="20"/>
      <c r="I8" s="20"/>
      <c r="J8" s="20"/>
      <c r="K8" s="20"/>
      <c r="L8" s="20"/>
      <c r="M8" s="20"/>
      <c r="N8" s="20">
        <f t="shared" si="0"/>
        <v>18</v>
      </c>
    </row>
    <row r="9" spans="1:14" x14ac:dyDescent="0.35">
      <c r="A9" s="20" t="s">
        <v>60</v>
      </c>
      <c r="B9" s="20"/>
      <c r="C9" s="20">
        <v>6</v>
      </c>
      <c r="D9" s="20">
        <v>1</v>
      </c>
      <c r="E9" s="20"/>
      <c r="F9" s="20"/>
      <c r="G9" s="20"/>
      <c r="H9" s="20"/>
      <c r="I9" s="20"/>
      <c r="J9" s="20"/>
      <c r="K9" s="20"/>
      <c r="L9" s="20"/>
      <c r="M9" s="20"/>
      <c r="N9" s="20">
        <f t="shared" si="0"/>
        <v>7</v>
      </c>
    </row>
    <row r="10" spans="1:14" x14ac:dyDescent="0.35">
      <c r="A10" s="20" t="s">
        <v>79</v>
      </c>
      <c r="B10" s="20">
        <v>1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>
        <f t="shared" si="0"/>
        <v>1</v>
      </c>
    </row>
    <row r="11" spans="1:14" x14ac:dyDescent="0.35">
      <c r="A11" s="20" t="s">
        <v>80</v>
      </c>
      <c r="B11" s="20"/>
      <c r="C11" s="20">
        <v>1</v>
      </c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>
        <f t="shared" si="0"/>
        <v>1</v>
      </c>
    </row>
    <row r="12" spans="1:14" x14ac:dyDescent="0.35">
      <c r="A12" s="20" t="s">
        <v>81</v>
      </c>
      <c r="B12" s="20">
        <v>1</v>
      </c>
      <c r="C12" s="20">
        <v>1</v>
      </c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>
        <f t="shared" si="0"/>
        <v>2</v>
      </c>
    </row>
    <row r="13" spans="1:14" x14ac:dyDescent="0.35">
      <c r="A13" s="20" t="s">
        <v>64</v>
      </c>
      <c r="B13" s="20"/>
      <c r="C13" s="20"/>
      <c r="D13" s="20"/>
      <c r="E13" s="20"/>
      <c r="F13" s="20">
        <v>1</v>
      </c>
      <c r="G13" s="20"/>
      <c r="H13" s="20"/>
      <c r="I13" s="20"/>
      <c r="J13" s="20"/>
      <c r="K13" s="20"/>
      <c r="L13" s="20"/>
      <c r="M13" s="20"/>
      <c r="N13" s="20">
        <f t="shared" si="0"/>
        <v>1</v>
      </c>
    </row>
    <row r="14" spans="1:14" x14ac:dyDescent="0.35">
      <c r="A14" s="20" t="s">
        <v>83</v>
      </c>
      <c r="B14" s="20"/>
      <c r="C14" s="20"/>
      <c r="D14" s="20">
        <v>1</v>
      </c>
      <c r="E14" s="20"/>
      <c r="F14" s="20"/>
      <c r="G14" s="20"/>
      <c r="H14" s="20"/>
      <c r="I14" s="20"/>
      <c r="J14" s="20"/>
      <c r="K14" s="20"/>
      <c r="L14" s="20"/>
      <c r="M14" s="20"/>
      <c r="N14" s="20">
        <f t="shared" si="0"/>
        <v>1</v>
      </c>
    </row>
    <row r="15" spans="1:14" x14ac:dyDescent="0.35">
      <c r="A15" s="20" t="s">
        <v>72</v>
      </c>
      <c r="B15" s="20">
        <v>1</v>
      </c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>
        <f t="shared" si="0"/>
        <v>1</v>
      </c>
    </row>
    <row r="16" spans="1:14" x14ac:dyDescent="0.35">
      <c r="A16" s="20" t="s">
        <v>66</v>
      </c>
      <c r="B16" s="20">
        <v>1</v>
      </c>
      <c r="C16" s="20"/>
      <c r="D16" s="20">
        <v>2</v>
      </c>
      <c r="E16" s="20">
        <v>3</v>
      </c>
      <c r="F16" s="20"/>
      <c r="G16" s="20"/>
      <c r="H16" s="20"/>
      <c r="I16" s="20"/>
      <c r="J16" s="20"/>
      <c r="K16" s="20"/>
      <c r="L16" s="20"/>
      <c r="M16" s="20"/>
      <c r="N16" s="20">
        <f t="shared" si="0"/>
        <v>6</v>
      </c>
    </row>
    <row r="17" spans="1:14" x14ac:dyDescent="0.35">
      <c r="A17" s="20" t="s">
        <v>73</v>
      </c>
      <c r="B17" s="20">
        <v>1</v>
      </c>
      <c r="C17" s="20"/>
      <c r="D17" s="20">
        <v>3</v>
      </c>
      <c r="E17" s="20">
        <v>1</v>
      </c>
      <c r="F17" s="20"/>
      <c r="G17" s="20"/>
      <c r="H17" s="20"/>
      <c r="I17" s="20"/>
      <c r="J17" s="20"/>
      <c r="K17" s="20"/>
      <c r="L17" s="20"/>
      <c r="M17" s="20"/>
      <c r="N17" s="20">
        <f t="shared" si="0"/>
        <v>5</v>
      </c>
    </row>
    <row r="18" spans="1:14" x14ac:dyDescent="0.35">
      <c r="A18" s="20" t="s">
        <v>74</v>
      </c>
      <c r="B18" s="20"/>
      <c r="C18" s="20"/>
      <c r="D18" s="20">
        <v>1</v>
      </c>
      <c r="E18" s="20"/>
      <c r="F18" s="20"/>
      <c r="G18" s="20"/>
      <c r="H18" s="20"/>
      <c r="I18" s="20"/>
      <c r="J18" s="20"/>
      <c r="K18" s="20"/>
      <c r="L18" s="20"/>
      <c r="M18" s="20"/>
      <c r="N18" s="20">
        <f t="shared" si="0"/>
        <v>1</v>
      </c>
    </row>
  </sheetData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D423A-BD5A-4DEC-96EE-E554860FFE64}">
  <dimension ref="A1:N26"/>
  <sheetViews>
    <sheetView zoomScale="80" zoomScaleNormal="80" workbookViewId="0">
      <pane xSplit="1" ySplit="1" topLeftCell="B2" activePane="bottomRight" state="frozen"/>
      <selection pane="topRight" activeCell="C1" sqref="C1"/>
      <selection pane="bottomLeft" activeCell="A4" sqref="A4"/>
      <selection pane="bottomRight" activeCell="A2" sqref="A2:A24"/>
    </sheetView>
  </sheetViews>
  <sheetFormatPr defaultColWidth="9" defaultRowHeight="14" x14ac:dyDescent="0.35"/>
  <cols>
    <col min="1" max="1" width="29.1796875" style="27" customWidth="1"/>
    <col min="2" max="5" width="9.1796875" style="27" customWidth="1"/>
    <col min="6" max="6" width="9.54296875" style="27" customWidth="1"/>
    <col min="7" max="7" width="9.1796875" style="27" bestFit="1" customWidth="1"/>
    <col min="8" max="9" width="9.1796875" style="27" customWidth="1"/>
    <col min="10" max="10" width="9.453125" style="27" bestFit="1" customWidth="1"/>
    <col min="11" max="13" width="9.1796875" style="27" customWidth="1"/>
    <col min="14" max="14" width="10.7265625" style="27" customWidth="1"/>
    <col min="15" max="16384" width="9" style="27"/>
  </cols>
  <sheetData>
    <row r="1" spans="1:14" x14ac:dyDescent="0.3">
      <c r="A1" s="29"/>
      <c r="B1" s="2" t="s">
        <v>47</v>
      </c>
      <c r="C1" s="10" t="s">
        <v>48</v>
      </c>
      <c r="D1" s="11" t="s">
        <v>49</v>
      </c>
      <c r="E1" s="10" t="s">
        <v>50</v>
      </c>
      <c r="F1" s="2" t="s">
        <v>34</v>
      </c>
      <c r="G1" s="10" t="s">
        <v>35</v>
      </c>
      <c r="H1" s="11" t="s">
        <v>36</v>
      </c>
      <c r="I1" s="10" t="s">
        <v>37</v>
      </c>
      <c r="J1" s="2" t="s">
        <v>38</v>
      </c>
      <c r="K1" s="10" t="s">
        <v>39</v>
      </c>
      <c r="L1" s="11" t="s">
        <v>40</v>
      </c>
      <c r="M1" s="10" t="s">
        <v>41</v>
      </c>
      <c r="N1" s="8" t="s">
        <v>51</v>
      </c>
    </row>
    <row r="2" spans="1:14" x14ac:dyDescent="0.35">
      <c r="A2" s="20" t="s">
        <v>52</v>
      </c>
      <c r="B2" s="20">
        <v>154</v>
      </c>
      <c r="C2" s="20">
        <v>153</v>
      </c>
      <c r="D2" s="20">
        <v>96</v>
      </c>
      <c r="E2" s="20">
        <v>7</v>
      </c>
      <c r="F2" s="20">
        <v>40</v>
      </c>
      <c r="G2" s="20">
        <v>101</v>
      </c>
      <c r="H2" s="20">
        <v>139</v>
      </c>
      <c r="I2" s="20">
        <v>96</v>
      </c>
      <c r="J2" s="20">
        <v>79</v>
      </c>
      <c r="K2" s="20">
        <v>37</v>
      </c>
      <c r="L2" s="20">
        <v>26</v>
      </c>
      <c r="M2" s="20">
        <v>15</v>
      </c>
      <c r="N2" s="20">
        <f t="shared" ref="N2:N24" si="0">M2+L2+K2+J2+I2+H2+G2+F2+E2+D2+C2+B2</f>
        <v>943</v>
      </c>
    </row>
    <row r="3" spans="1:14" x14ac:dyDescent="0.35">
      <c r="A3" s="20" t="s">
        <v>55</v>
      </c>
      <c r="B3" s="20">
        <v>784</v>
      </c>
      <c r="C3" s="20">
        <v>738</v>
      </c>
      <c r="D3" s="20">
        <v>445</v>
      </c>
      <c r="E3" s="20">
        <v>17</v>
      </c>
      <c r="F3" s="20">
        <v>337</v>
      </c>
      <c r="G3" s="20">
        <v>460</v>
      </c>
      <c r="H3" s="20">
        <v>119</v>
      </c>
      <c r="I3" s="20">
        <v>409</v>
      </c>
      <c r="J3" s="20">
        <v>96</v>
      </c>
      <c r="K3" s="20">
        <v>8</v>
      </c>
      <c r="L3" s="20">
        <v>1</v>
      </c>
      <c r="M3" s="20">
        <v>7</v>
      </c>
      <c r="N3" s="20">
        <f t="shared" si="0"/>
        <v>3421</v>
      </c>
    </row>
    <row r="4" spans="1:14" x14ac:dyDescent="0.35">
      <c r="A4" s="20" t="s">
        <v>69</v>
      </c>
      <c r="B4" s="20">
        <v>1</v>
      </c>
      <c r="C4" s="20">
        <v>1</v>
      </c>
      <c r="D4" s="20">
        <v>1</v>
      </c>
      <c r="E4" s="20"/>
      <c r="F4" s="20"/>
      <c r="G4" s="20"/>
      <c r="H4" s="20">
        <v>2</v>
      </c>
      <c r="I4" s="20">
        <v>0</v>
      </c>
      <c r="J4" s="20"/>
      <c r="K4" s="20"/>
      <c r="L4" s="20"/>
      <c r="M4" s="20"/>
      <c r="N4" s="20">
        <f t="shared" si="0"/>
        <v>5</v>
      </c>
    </row>
    <row r="5" spans="1:14" x14ac:dyDescent="0.35">
      <c r="A5" s="20" t="s">
        <v>75</v>
      </c>
      <c r="B5" s="20">
        <v>379</v>
      </c>
      <c r="C5" s="20">
        <v>381</v>
      </c>
      <c r="D5" s="20">
        <v>308</v>
      </c>
      <c r="E5" s="20">
        <v>32</v>
      </c>
      <c r="F5" s="20">
        <v>155</v>
      </c>
      <c r="G5" s="20">
        <v>342</v>
      </c>
      <c r="H5" s="20">
        <v>347</v>
      </c>
      <c r="I5" s="20">
        <v>126</v>
      </c>
      <c r="J5" s="20">
        <v>34</v>
      </c>
      <c r="K5" s="20">
        <v>4</v>
      </c>
      <c r="L5" s="20">
        <v>5</v>
      </c>
      <c r="M5" s="20">
        <v>2</v>
      </c>
      <c r="N5" s="20">
        <f t="shared" si="0"/>
        <v>2115</v>
      </c>
    </row>
    <row r="6" spans="1:14" x14ac:dyDescent="0.35">
      <c r="A6" s="20" t="s">
        <v>76</v>
      </c>
      <c r="B6" s="20">
        <v>541</v>
      </c>
      <c r="C6" s="20">
        <v>518</v>
      </c>
      <c r="D6" s="20">
        <v>318</v>
      </c>
      <c r="E6" s="20">
        <v>24</v>
      </c>
      <c r="F6" s="20">
        <v>196</v>
      </c>
      <c r="G6" s="20">
        <v>527</v>
      </c>
      <c r="H6" s="20">
        <v>643</v>
      </c>
      <c r="I6" s="20">
        <v>219</v>
      </c>
      <c r="J6" s="20">
        <v>43</v>
      </c>
      <c r="K6" s="20">
        <v>8</v>
      </c>
      <c r="L6" s="20">
        <v>7</v>
      </c>
      <c r="M6" s="20">
        <v>5</v>
      </c>
      <c r="N6" s="20">
        <f t="shared" si="0"/>
        <v>3049</v>
      </c>
    </row>
    <row r="7" spans="1:14" s="28" customFormat="1" x14ac:dyDescent="0.35">
      <c r="A7" s="20" t="s">
        <v>57</v>
      </c>
      <c r="B7" s="20">
        <v>1</v>
      </c>
      <c r="C7" s="20">
        <v>2</v>
      </c>
      <c r="D7" s="20">
        <v>1</v>
      </c>
      <c r="E7" s="20"/>
      <c r="F7" s="20">
        <v>10</v>
      </c>
      <c r="G7" s="20">
        <v>23</v>
      </c>
      <c r="H7" s="20">
        <v>10</v>
      </c>
      <c r="I7" s="20">
        <v>1</v>
      </c>
      <c r="J7" s="20"/>
      <c r="K7" s="20"/>
      <c r="L7" s="20"/>
      <c r="M7" s="20">
        <v>2</v>
      </c>
      <c r="N7" s="20">
        <f t="shared" si="0"/>
        <v>50</v>
      </c>
    </row>
    <row r="8" spans="1:14" x14ac:dyDescent="0.35">
      <c r="A8" s="20" t="s">
        <v>58</v>
      </c>
      <c r="B8" s="20">
        <v>48</v>
      </c>
      <c r="C8" s="20">
        <v>37</v>
      </c>
      <c r="D8" s="20">
        <v>44</v>
      </c>
      <c r="E8" s="20">
        <v>2</v>
      </c>
      <c r="F8" s="20">
        <v>21</v>
      </c>
      <c r="G8" s="20">
        <v>36</v>
      </c>
      <c r="H8" s="20">
        <v>58</v>
      </c>
      <c r="I8" s="20">
        <v>64</v>
      </c>
      <c r="J8" s="20">
        <v>77</v>
      </c>
      <c r="K8" s="20">
        <v>31</v>
      </c>
      <c r="L8" s="20">
        <v>14</v>
      </c>
      <c r="M8" s="20">
        <v>10</v>
      </c>
      <c r="N8" s="20">
        <f t="shared" si="0"/>
        <v>442</v>
      </c>
    </row>
    <row r="9" spans="1:14" x14ac:dyDescent="0.35">
      <c r="A9" s="20" t="s">
        <v>77</v>
      </c>
      <c r="B9" s="20">
        <v>166</v>
      </c>
      <c r="C9" s="20">
        <v>169</v>
      </c>
      <c r="D9" s="20">
        <v>120</v>
      </c>
      <c r="E9" s="20">
        <v>12</v>
      </c>
      <c r="F9" s="20">
        <v>69</v>
      </c>
      <c r="G9" s="20">
        <v>136</v>
      </c>
      <c r="H9" s="20">
        <v>236</v>
      </c>
      <c r="I9" s="20">
        <v>171</v>
      </c>
      <c r="J9" s="20">
        <v>151</v>
      </c>
      <c r="K9" s="20">
        <v>67</v>
      </c>
      <c r="L9" s="20">
        <v>24</v>
      </c>
      <c r="M9" s="20">
        <v>22</v>
      </c>
      <c r="N9" s="20">
        <f t="shared" si="0"/>
        <v>1343</v>
      </c>
    </row>
    <row r="10" spans="1:14" x14ac:dyDescent="0.35">
      <c r="A10" s="20" t="s">
        <v>71</v>
      </c>
      <c r="B10" s="20">
        <v>31</v>
      </c>
      <c r="C10" s="20">
        <v>32</v>
      </c>
      <c r="D10" s="20">
        <v>10</v>
      </c>
      <c r="E10" s="20">
        <v>2</v>
      </c>
      <c r="F10" s="20">
        <v>5</v>
      </c>
      <c r="G10" s="20">
        <v>16</v>
      </c>
      <c r="H10" s="20">
        <v>17</v>
      </c>
      <c r="I10" s="20">
        <v>25</v>
      </c>
      <c r="J10" s="20">
        <v>40</v>
      </c>
      <c r="K10" s="20">
        <v>23</v>
      </c>
      <c r="L10" s="20">
        <v>25</v>
      </c>
      <c r="M10" s="20">
        <v>11</v>
      </c>
      <c r="N10" s="20">
        <f t="shared" si="0"/>
        <v>237</v>
      </c>
    </row>
    <row r="11" spans="1:14" x14ac:dyDescent="0.35">
      <c r="A11" s="20" t="s">
        <v>60</v>
      </c>
      <c r="B11" s="20">
        <v>1</v>
      </c>
      <c r="C11" s="20"/>
      <c r="D11" s="20"/>
      <c r="E11" s="20"/>
      <c r="F11" s="20"/>
      <c r="G11" s="20"/>
      <c r="H11" s="20"/>
      <c r="I11" s="20">
        <v>0</v>
      </c>
      <c r="J11" s="20"/>
      <c r="K11" s="20"/>
      <c r="L11" s="20"/>
      <c r="M11" s="20"/>
      <c r="N11" s="20">
        <f t="shared" si="0"/>
        <v>1</v>
      </c>
    </row>
    <row r="12" spans="1:14" x14ac:dyDescent="0.35">
      <c r="A12" s="20" t="s">
        <v>61</v>
      </c>
      <c r="B12" s="20"/>
      <c r="C12" s="20"/>
      <c r="D12" s="20"/>
      <c r="E12" s="20"/>
      <c r="F12" s="20"/>
      <c r="G12" s="20"/>
      <c r="H12" s="20"/>
      <c r="I12" s="20">
        <v>0</v>
      </c>
      <c r="J12" s="20"/>
      <c r="K12" s="20"/>
      <c r="L12" s="20">
        <v>1</v>
      </c>
      <c r="M12" s="20"/>
      <c r="N12" s="20">
        <f t="shared" si="0"/>
        <v>1</v>
      </c>
    </row>
    <row r="13" spans="1:14" x14ac:dyDescent="0.35">
      <c r="A13" s="20" t="s">
        <v>78</v>
      </c>
      <c r="B13" s="20">
        <v>65</v>
      </c>
      <c r="C13" s="20">
        <v>35</v>
      </c>
      <c r="D13" s="20">
        <v>38</v>
      </c>
      <c r="E13" s="20">
        <v>1</v>
      </c>
      <c r="F13" s="20">
        <v>23</v>
      </c>
      <c r="G13" s="20">
        <v>125</v>
      </c>
      <c r="H13" s="20">
        <v>212</v>
      </c>
      <c r="I13" s="20">
        <v>73</v>
      </c>
      <c r="J13" s="20">
        <v>35</v>
      </c>
      <c r="K13" s="20">
        <v>2</v>
      </c>
      <c r="L13" s="20">
        <v>2</v>
      </c>
      <c r="M13" s="20">
        <v>1</v>
      </c>
      <c r="N13" s="20">
        <f t="shared" si="0"/>
        <v>612</v>
      </c>
    </row>
    <row r="14" spans="1:14" x14ac:dyDescent="0.35">
      <c r="A14" s="20" t="s">
        <v>79</v>
      </c>
      <c r="B14" s="20"/>
      <c r="C14" s="20"/>
      <c r="D14" s="20"/>
      <c r="E14" s="20"/>
      <c r="F14" s="20"/>
      <c r="G14" s="20">
        <v>11</v>
      </c>
      <c r="H14" s="20">
        <v>23</v>
      </c>
      <c r="I14" s="20">
        <v>16</v>
      </c>
      <c r="J14" s="20">
        <v>12</v>
      </c>
      <c r="K14" s="20">
        <v>8</v>
      </c>
      <c r="L14" s="20">
        <v>1</v>
      </c>
      <c r="M14" s="20"/>
      <c r="N14" s="20">
        <f t="shared" si="0"/>
        <v>71</v>
      </c>
    </row>
    <row r="15" spans="1:14" x14ac:dyDescent="0.35">
      <c r="A15" s="20" t="s">
        <v>81</v>
      </c>
      <c r="B15" s="20"/>
      <c r="C15" s="20"/>
      <c r="D15" s="20"/>
      <c r="E15" s="20"/>
      <c r="F15" s="20"/>
      <c r="G15" s="20"/>
      <c r="H15" s="20"/>
      <c r="I15" s="20">
        <v>0</v>
      </c>
      <c r="J15" s="20"/>
      <c r="K15" s="20"/>
      <c r="L15" s="20">
        <v>17</v>
      </c>
      <c r="M15" s="20">
        <v>37</v>
      </c>
      <c r="N15" s="20">
        <f t="shared" si="0"/>
        <v>54</v>
      </c>
    </row>
    <row r="16" spans="1:14" x14ac:dyDescent="0.35">
      <c r="A16" s="20" t="s">
        <v>82</v>
      </c>
      <c r="B16" s="20"/>
      <c r="C16" s="20"/>
      <c r="D16" s="20"/>
      <c r="E16" s="20"/>
      <c r="F16" s="20"/>
      <c r="G16" s="20"/>
      <c r="H16" s="20"/>
      <c r="I16" s="20">
        <v>0</v>
      </c>
      <c r="J16" s="20"/>
      <c r="K16" s="20">
        <v>17</v>
      </c>
      <c r="L16" s="20"/>
      <c r="M16" s="20"/>
      <c r="N16" s="20">
        <f t="shared" si="0"/>
        <v>17</v>
      </c>
    </row>
    <row r="17" spans="1:14" x14ac:dyDescent="0.35">
      <c r="A17" s="20" t="s">
        <v>62</v>
      </c>
      <c r="B17" s="20"/>
      <c r="C17" s="20"/>
      <c r="D17" s="20"/>
      <c r="E17" s="20"/>
      <c r="F17" s="20"/>
      <c r="G17" s="20"/>
      <c r="H17" s="20"/>
      <c r="I17" s="20">
        <v>0</v>
      </c>
      <c r="J17" s="20">
        <v>1</v>
      </c>
      <c r="K17" s="20"/>
      <c r="L17" s="20"/>
      <c r="M17" s="20"/>
      <c r="N17" s="20">
        <f t="shared" si="0"/>
        <v>1</v>
      </c>
    </row>
    <row r="18" spans="1:14" x14ac:dyDescent="0.35">
      <c r="A18" s="20" t="s">
        <v>63</v>
      </c>
      <c r="B18" s="20">
        <v>81</v>
      </c>
      <c r="C18" s="20">
        <v>78</v>
      </c>
      <c r="D18" s="20">
        <v>33</v>
      </c>
      <c r="E18" s="20">
        <v>7</v>
      </c>
      <c r="F18" s="20">
        <v>25</v>
      </c>
      <c r="G18" s="20">
        <v>78</v>
      </c>
      <c r="H18" s="20">
        <v>90</v>
      </c>
      <c r="I18" s="20">
        <v>35</v>
      </c>
      <c r="J18" s="20">
        <v>7</v>
      </c>
      <c r="K18" s="20"/>
      <c r="L18" s="20">
        <v>1</v>
      </c>
      <c r="M18" s="20"/>
      <c r="N18" s="20">
        <f t="shared" si="0"/>
        <v>435</v>
      </c>
    </row>
    <row r="19" spans="1:14" x14ac:dyDescent="0.35">
      <c r="A19" s="20" t="s">
        <v>64</v>
      </c>
      <c r="B19" s="20">
        <v>74</v>
      </c>
      <c r="C19" s="20">
        <v>94</v>
      </c>
      <c r="D19" s="20">
        <v>58</v>
      </c>
      <c r="E19" s="20">
        <v>6</v>
      </c>
      <c r="F19" s="20">
        <v>34</v>
      </c>
      <c r="G19" s="20">
        <v>80</v>
      </c>
      <c r="H19" s="20">
        <v>86</v>
      </c>
      <c r="I19" s="20">
        <v>83</v>
      </c>
      <c r="J19" s="20">
        <v>58</v>
      </c>
      <c r="K19" s="20">
        <v>23</v>
      </c>
      <c r="L19" s="20">
        <v>5</v>
      </c>
      <c r="M19" s="20">
        <v>4</v>
      </c>
      <c r="N19" s="20">
        <f t="shared" si="0"/>
        <v>605</v>
      </c>
    </row>
    <row r="20" spans="1:14" x14ac:dyDescent="0.35">
      <c r="A20" s="20" t="s">
        <v>65</v>
      </c>
      <c r="B20" s="20"/>
      <c r="C20" s="20">
        <v>1</v>
      </c>
      <c r="D20" s="20"/>
      <c r="E20" s="20"/>
      <c r="F20" s="20"/>
      <c r="G20" s="20"/>
      <c r="H20" s="20"/>
      <c r="I20" s="20">
        <v>0</v>
      </c>
      <c r="J20" s="20"/>
      <c r="K20" s="20"/>
      <c r="L20" s="20"/>
      <c r="M20" s="20">
        <v>5</v>
      </c>
      <c r="N20" s="20">
        <f t="shared" si="0"/>
        <v>6</v>
      </c>
    </row>
    <row r="21" spans="1:14" x14ac:dyDescent="0.35">
      <c r="A21" s="20" t="s">
        <v>72</v>
      </c>
      <c r="B21" s="20">
        <v>13</v>
      </c>
      <c r="C21" s="20">
        <v>30</v>
      </c>
      <c r="D21" s="20">
        <v>20</v>
      </c>
      <c r="E21" s="20">
        <v>5</v>
      </c>
      <c r="F21" s="20">
        <v>14</v>
      </c>
      <c r="G21" s="20">
        <v>26</v>
      </c>
      <c r="H21" s="20">
        <v>55</v>
      </c>
      <c r="I21" s="20">
        <v>37</v>
      </c>
      <c r="J21" s="20">
        <v>22</v>
      </c>
      <c r="K21" s="20">
        <v>1</v>
      </c>
      <c r="L21" s="20">
        <v>2</v>
      </c>
      <c r="M21" s="20">
        <v>3</v>
      </c>
      <c r="N21" s="20">
        <f t="shared" si="0"/>
        <v>228</v>
      </c>
    </row>
    <row r="22" spans="1:14" x14ac:dyDescent="0.35">
      <c r="A22" s="20" t="s">
        <v>66</v>
      </c>
      <c r="B22" s="20">
        <v>741</v>
      </c>
      <c r="C22" s="20">
        <v>744</v>
      </c>
      <c r="D22" s="20">
        <v>474</v>
      </c>
      <c r="E22" s="20">
        <v>57</v>
      </c>
      <c r="F22" s="20">
        <v>343</v>
      </c>
      <c r="G22" s="20">
        <v>470</v>
      </c>
      <c r="H22" s="20">
        <v>433</v>
      </c>
      <c r="I22" s="20">
        <v>329</v>
      </c>
      <c r="J22" s="20">
        <v>111</v>
      </c>
      <c r="K22" s="20">
        <v>12</v>
      </c>
      <c r="L22" s="20">
        <v>5</v>
      </c>
      <c r="M22" s="20">
        <v>10</v>
      </c>
      <c r="N22" s="20">
        <f t="shared" si="0"/>
        <v>3729</v>
      </c>
    </row>
    <row r="23" spans="1:14" x14ac:dyDescent="0.35">
      <c r="A23" s="20" t="s">
        <v>73</v>
      </c>
      <c r="B23" s="20">
        <v>1099</v>
      </c>
      <c r="C23" s="20">
        <v>1167</v>
      </c>
      <c r="D23" s="20">
        <v>754</v>
      </c>
      <c r="E23" s="20">
        <v>93</v>
      </c>
      <c r="F23" s="20">
        <v>624</v>
      </c>
      <c r="G23" s="20">
        <v>1155</v>
      </c>
      <c r="H23" s="20">
        <v>784</v>
      </c>
      <c r="I23" s="20">
        <v>162</v>
      </c>
      <c r="J23" s="20">
        <v>47</v>
      </c>
      <c r="K23" s="20">
        <v>6</v>
      </c>
      <c r="L23" s="20">
        <v>7</v>
      </c>
      <c r="M23" s="20">
        <v>9</v>
      </c>
      <c r="N23" s="20">
        <f t="shared" si="0"/>
        <v>5907</v>
      </c>
    </row>
    <row r="24" spans="1:14" x14ac:dyDescent="0.35">
      <c r="A24" s="20" t="s">
        <v>74</v>
      </c>
      <c r="B24" s="20">
        <v>737</v>
      </c>
      <c r="C24" s="20">
        <v>663</v>
      </c>
      <c r="D24" s="20">
        <v>513</v>
      </c>
      <c r="E24" s="20">
        <v>62</v>
      </c>
      <c r="F24" s="20">
        <v>338</v>
      </c>
      <c r="G24" s="20">
        <v>415</v>
      </c>
      <c r="H24" s="20">
        <v>310</v>
      </c>
      <c r="I24" s="20">
        <v>459</v>
      </c>
      <c r="J24" s="20">
        <v>164</v>
      </c>
      <c r="K24" s="20"/>
      <c r="L24" s="20">
        <v>4</v>
      </c>
      <c r="M24" s="20">
        <v>5</v>
      </c>
      <c r="N24" s="20">
        <f t="shared" si="0"/>
        <v>3670</v>
      </c>
    </row>
    <row r="26" spans="1:14" x14ac:dyDescent="0.35">
      <c r="M26" s="30"/>
    </row>
  </sheetData>
  <phoneticPr fontId="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A4863-EB95-4526-90D6-7739E2132CAF}">
  <dimension ref="A1:N22"/>
  <sheetViews>
    <sheetView zoomScale="80" zoomScaleNormal="80" workbookViewId="0">
      <pane xSplit="1" topLeftCell="B1" activePane="topRight" state="frozen"/>
      <selection pane="topRight" activeCell="A14" sqref="A14:XFD14"/>
    </sheetView>
  </sheetViews>
  <sheetFormatPr defaultColWidth="9" defaultRowHeight="14" x14ac:dyDescent="0.35"/>
  <cols>
    <col min="1" max="1" width="29.1796875" style="27" customWidth="1"/>
    <col min="2" max="5" width="9.1796875" style="27" customWidth="1"/>
    <col min="6" max="6" width="8.54296875" style="27" customWidth="1"/>
    <col min="7" max="7" width="9.1796875" style="27" bestFit="1" customWidth="1"/>
    <col min="8" max="9" width="9.1796875" style="27" customWidth="1"/>
    <col min="10" max="10" width="8.54296875" style="27" customWidth="1"/>
    <col min="11" max="13" width="9.1796875" style="27" customWidth="1"/>
    <col min="14" max="14" width="10.7265625" style="27" customWidth="1"/>
    <col min="15" max="16384" width="9" style="27"/>
  </cols>
  <sheetData>
    <row r="1" spans="1:14" x14ac:dyDescent="0.3">
      <c r="A1" s="20"/>
      <c r="B1" s="2" t="s">
        <v>47</v>
      </c>
      <c r="C1" s="10" t="s">
        <v>48</v>
      </c>
      <c r="D1" s="11" t="s">
        <v>49</v>
      </c>
      <c r="E1" s="10" t="s">
        <v>50</v>
      </c>
      <c r="F1" s="2" t="s">
        <v>34</v>
      </c>
      <c r="G1" s="10" t="s">
        <v>35</v>
      </c>
      <c r="H1" s="11" t="s">
        <v>36</v>
      </c>
      <c r="I1" s="10" t="s">
        <v>37</v>
      </c>
      <c r="J1" s="2" t="s">
        <v>38</v>
      </c>
      <c r="K1" s="10" t="s">
        <v>39</v>
      </c>
      <c r="L1" s="11" t="s">
        <v>40</v>
      </c>
      <c r="M1" s="10" t="s">
        <v>41</v>
      </c>
      <c r="N1" s="8" t="s">
        <v>51</v>
      </c>
    </row>
    <row r="2" spans="1:14" x14ac:dyDescent="0.35">
      <c r="A2" s="20" t="s">
        <v>52</v>
      </c>
      <c r="B2" s="20">
        <v>45</v>
      </c>
      <c r="C2" s="20">
        <v>93</v>
      </c>
      <c r="D2" s="20">
        <v>74</v>
      </c>
      <c r="E2" s="20">
        <v>116</v>
      </c>
      <c r="F2" s="20">
        <v>87</v>
      </c>
      <c r="G2" s="20">
        <v>99</v>
      </c>
      <c r="H2" s="20">
        <v>154</v>
      </c>
      <c r="I2" s="20">
        <v>130</v>
      </c>
      <c r="J2" s="20">
        <v>139</v>
      </c>
      <c r="K2" s="20">
        <v>129</v>
      </c>
      <c r="L2" s="20">
        <v>100</v>
      </c>
      <c r="M2" s="20">
        <v>140</v>
      </c>
      <c r="N2" s="20">
        <f t="shared" ref="N2:N22" si="0">M2+L2+K2+J2+I2+H2+G2+F2+E2+D2+C2+B2</f>
        <v>1306</v>
      </c>
    </row>
    <row r="3" spans="1:14" x14ac:dyDescent="0.35">
      <c r="A3" s="20" t="s">
        <v>55</v>
      </c>
      <c r="B3" s="20">
        <v>445</v>
      </c>
      <c r="C3" s="20">
        <v>451</v>
      </c>
      <c r="D3" s="20">
        <v>740</v>
      </c>
      <c r="E3" s="20">
        <v>625</v>
      </c>
      <c r="F3" s="20">
        <v>332</v>
      </c>
      <c r="G3" s="20">
        <v>324</v>
      </c>
      <c r="H3" s="20">
        <v>457</v>
      </c>
      <c r="I3" s="20">
        <v>621</v>
      </c>
      <c r="J3" s="20">
        <v>513</v>
      </c>
      <c r="K3" s="20">
        <v>484</v>
      </c>
      <c r="L3" s="20">
        <v>461</v>
      </c>
      <c r="M3" s="20">
        <v>698</v>
      </c>
      <c r="N3" s="20">
        <f t="shared" si="0"/>
        <v>6151</v>
      </c>
    </row>
    <row r="4" spans="1:14" x14ac:dyDescent="0.35">
      <c r="A4" s="20" t="s">
        <v>69</v>
      </c>
      <c r="B4" s="20">
        <v>572</v>
      </c>
      <c r="C4" s="20">
        <v>519</v>
      </c>
      <c r="D4" s="20">
        <v>665</v>
      </c>
      <c r="E4" s="20">
        <v>609</v>
      </c>
      <c r="F4" s="20">
        <v>481</v>
      </c>
      <c r="G4" s="20">
        <v>299</v>
      </c>
      <c r="H4" s="20">
        <v>215</v>
      </c>
      <c r="I4" s="20">
        <v>145</v>
      </c>
      <c r="J4" s="20">
        <v>61</v>
      </c>
      <c r="K4" s="20">
        <v>23</v>
      </c>
      <c r="L4" s="20">
        <v>6</v>
      </c>
      <c r="M4" s="20">
        <v>10</v>
      </c>
      <c r="N4" s="20">
        <f t="shared" si="0"/>
        <v>3605</v>
      </c>
    </row>
    <row r="5" spans="1:14" x14ac:dyDescent="0.35">
      <c r="A5" s="20" t="s">
        <v>75</v>
      </c>
      <c r="B5" s="20"/>
      <c r="C5" s="20"/>
      <c r="D5" s="20"/>
      <c r="E5" s="20"/>
      <c r="F5" s="20">
        <v>228</v>
      </c>
      <c r="G5" s="20">
        <v>478</v>
      </c>
      <c r="H5" s="20">
        <v>451</v>
      </c>
      <c r="I5" s="20">
        <v>395</v>
      </c>
      <c r="J5" s="20">
        <v>377</v>
      </c>
      <c r="K5" s="20">
        <v>393</v>
      </c>
      <c r="L5" s="20">
        <v>330</v>
      </c>
      <c r="M5" s="20">
        <v>434</v>
      </c>
      <c r="N5" s="20">
        <f t="shared" si="0"/>
        <v>3086</v>
      </c>
    </row>
    <row r="6" spans="1:14" x14ac:dyDescent="0.35">
      <c r="A6" s="20" t="s">
        <v>76</v>
      </c>
      <c r="B6" s="20"/>
      <c r="C6" s="20"/>
      <c r="D6" s="20"/>
      <c r="E6" s="20"/>
      <c r="F6" s="20">
        <v>325</v>
      </c>
      <c r="G6" s="20">
        <v>566</v>
      </c>
      <c r="H6" s="20">
        <v>625</v>
      </c>
      <c r="I6" s="20">
        <v>510</v>
      </c>
      <c r="J6" s="20">
        <v>475</v>
      </c>
      <c r="K6" s="20">
        <v>385</v>
      </c>
      <c r="L6" s="20">
        <v>397</v>
      </c>
      <c r="M6" s="20">
        <v>627</v>
      </c>
      <c r="N6" s="20">
        <f t="shared" si="0"/>
        <v>3910</v>
      </c>
    </row>
    <row r="7" spans="1:14" x14ac:dyDescent="0.35">
      <c r="A7" s="20" t="s">
        <v>70</v>
      </c>
      <c r="B7" s="20">
        <v>463</v>
      </c>
      <c r="C7" s="20">
        <v>429</v>
      </c>
      <c r="D7" s="20">
        <v>682</v>
      </c>
      <c r="E7" s="20">
        <v>653</v>
      </c>
      <c r="F7" s="20">
        <v>314</v>
      </c>
      <c r="G7" s="20">
        <v>112</v>
      </c>
      <c r="H7" s="20">
        <v>52</v>
      </c>
      <c r="I7" s="20">
        <v>29</v>
      </c>
      <c r="J7" s="20">
        <v>2</v>
      </c>
      <c r="K7" s="20">
        <v>5</v>
      </c>
      <c r="L7" s="20">
        <v>0</v>
      </c>
      <c r="M7" s="20"/>
      <c r="N7" s="20">
        <f t="shared" si="0"/>
        <v>2741</v>
      </c>
    </row>
    <row r="8" spans="1:14" s="28" customFormat="1" x14ac:dyDescent="0.35">
      <c r="A8" s="20" t="s">
        <v>57</v>
      </c>
      <c r="B8" s="20">
        <v>9</v>
      </c>
      <c r="C8" s="20">
        <v>3</v>
      </c>
      <c r="D8" s="20">
        <v>8</v>
      </c>
      <c r="E8" s="20">
        <v>1</v>
      </c>
      <c r="F8" s="20">
        <v>3</v>
      </c>
      <c r="G8" s="20">
        <v>1</v>
      </c>
      <c r="H8" s="20">
        <v>1</v>
      </c>
      <c r="I8" s="20">
        <v>3</v>
      </c>
      <c r="J8" s="20">
        <v>3</v>
      </c>
      <c r="K8" s="20">
        <v>1</v>
      </c>
      <c r="L8" s="20">
        <v>3</v>
      </c>
      <c r="M8" s="20">
        <v>3</v>
      </c>
      <c r="N8" s="20">
        <f t="shared" si="0"/>
        <v>39</v>
      </c>
    </row>
    <row r="9" spans="1:14" x14ac:dyDescent="0.35">
      <c r="A9" s="20" t="s">
        <v>58</v>
      </c>
      <c r="B9" s="20">
        <v>71</v>
      </c>
      <c r="C9" s="20">
        <v>68</v>
      </c>
      <c r="D9" s="20">
        <v>91</v>
      </c>
      <c r="E9" s="20">
        <v>79</v>
      </c>
      <c r="F9" s="20">
        <v>67</v>
      </c>
      <c r="G9" s="20">
        <v>73</v>
      </c>
      <c r="H9" s="20">
        <v>70</v>
      </c>
      <c r="I9" s="20">
        <v>47</v>
      </c>
      <c r="J9" s="20">
        <v>53</v>
      </c>
      <c r="K9" s="20">
        <v>61</v>
      </c>
      <c r="L9" s="20">
        <v>50</v>
      </c>
      <c r="M9" s="20">
        <v>56</v>
      </c>
      <c r="N9" s="20">
        <f t="shared" si="0"/>
        <v>786</v>
      </c>
    </row>
    <row r="10" spans="1:14" x14ac:dyDescent="0.35">
      <c r="A10" s="20" t="s">
        <v>77</v>
      </c>
      <c r="B10" s="20"/>
      <c r="C10" s="20"/>
      <c r="D10" s="20"/>
      <c r="E10" s="20"/>
      <c r="F10" s="20"/>
      <c r="G10" s="20"/>
      <c r="H10" s="20"/>
      <c r="I10" s="20">
        <v>137</v>
      </c>
      <c r="J10" s="20">
        <v>220</v>
      </c>
      <c r="K10" s="20">
        <v>181</v>
      </c>
      <c r="L10" s="20">
        <v>165</v>
      </c>
      <c r="M10" s="20">
        <v>158</v>
      </c>
      <c r="N10" s="20">
        <f t="shared" si="0"/>
        <v>861</v>
      </c>
    </row>
    <row r="11" spans="1:14" x14ac:dyDescent="0.35">
      <c r="A11" s="20" t="s">
        <v>71</v>
      </c>
      <c r="B11" s="20">
        <v>28</v>
      </c>
      <c r="C11" s="20">
        <v>14</v>
      </c>
      <c r="D11" s="20">
        <v>30</v>
      </c>
      <c r="E11" s="20">
        <v>19</v>
      </c>
      <c r="F11" s="20">
        <v>22</v>
      </c>
      <c r="G11" s="20">
        <v>28</v>
      </c>
      <c r="H11" s="20">
        <v>37</v>
      </c>
      <c r="I11" s="20">
        <v>60</v>
      </c>
      <c r="J11" s="20">
        <v>40</v>
      </c>
      <c r="K11" s="20">
        <v>28</v>
      </c>
      <c r="L11" s="20">
        <v>28</v>
      </c>
      <c r="M11" s="20">
        <v>33</v>
      </c>
      <c r="N11" s="20">
        <f t="shared" si="0"/>
        <v>367</v>
      </c>
    </row>
    <row r="12" spans="1:14" x14ac:dyDescent="0.35">
      <c r="A12" s="20" t="s">
        <v>60</v>
      </c>
      <c r="B12" s="20"/>
      <c r="C12" s="20"/>
      <c r="D12" s="20"/>
      <c r="E12" s="20"/>
      <c r="F12" s="20"/>
      <c r="G12" s="20"/>
      <c r="H12" s="20"/>
      <c r="I12" s="20">
        <v>1</v>
      </c>
      <c r="J12" s="20">
        <v>1</v>
      </c>
      <c r="K12" s="20">
        <v>1</v>
      </c>
      <c r="L12" s="20"/>
      <c r="M12" s="20"/>
      <c r="N12" s="20">
        <f t="shared" si="0"/>
        <v>3</v>
      </c>
    </row>
    <row r="13" spans="1:14" x14ac:dyDescent="0.35">
      <c r="A13" s="20" t="s">
        <v>61</v>
      </c>
      <c r="B13" s="20"/>
      <c r="C13" s="20"/>
      <c r="D13" s="20"/>
      <c r="E13" s="20"/>
      <c r="F13" s="20"/>
      <c r="G13" s="20"/>
      <c r="H13" s="20"/>
      <c r="I13" s="20">
        <v>2</v>
      </c>
      <c r="J13" s="20"/>
      <c r="K13" s="20"/>
      <c r="L13" s="20"/>
      <c r="M13" s="20"/>
      <c r="N13" s="20">
        <f t="shared" si="0"/>
        <v>2</v>
      </c>
    </row>
    <row r="14" spans="1:14" x14ac:dyDescent="0.35">
      <c r="A14" s="20" t="s">
        <v>78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>
        <v>105</v>
      </c>
      <c r="M14" s="20">
        <v>115</v>
      </c>
      <c r="N14" s="20">
        <f t="shared" si="0"/>
        <v>220</v>
      </c>
    </row>
    <row r="15" spans="1:14" x14ac:dyDescent="0.35">
      <c r="A15" s="20" t="s">
        <v>62</v>
      </c>
      <c r="B15" s="20"/>
      <c r="C15" s="20"/>
      <c r="D15" s="20"/>
      <c r="E15" s="20"/>
      <c r="F15" s="20">
        <v>67</v>
      </c>
      <c r="G15" s="20"/>
      <c r="H15" s="20"/>
      <c r="I15" s="20">
        <v>1</v>
      </c>
      <c r="J15" s="20">
        <v>2</v>
      </c>
      <c r="K15" s="20"/>
      <c r="L15" s="20"/>
      <c r="M15" s="20"/>
      <c r="N15" s="20">
        <f t="shared" si="0"/>
        <v>70</v>
      </c>
    </row>
    <row r="16" spans="1:14" x14ac:dyDescent="0.35">
      <c r="A16" s="20" t="s">
        <v>63</v>
      </c>
      <c r="B16" s="20">
        <v>99</v>
      </c>
      <c r="C16" s="20">
        <v>65</v>
      </c>
      <c r="D16" s="20">
        <v>101</v>
      </c>
      <c r="E16" s="20">
        <v>102</v>
      </c>
      <c r="F16" s="20"/>
      <c r="G16" s="20">
        <v>62</v>
      </c>
      <c r="H16" s="20">
        <v>51</v>
      </c>
      <c r="I16" s="20">
        <v>97</v>
      </c>
      <c r="J16" s="20">
        <v>107</v>
      </c>
      <c r="K16" s="20">
        <v>74</v>
      </c>
      <c r="L16" s="20">
        <v>42</v>
      </c>
      <c r="M16" s="20">
        <v>79</v>
      </c>
      <c r="N16" s="20">
        <f t="shared" si="0"/>
        <v>879</v>
      </c>
    </row>
    <row r="17" spans="1:14" x14ac:dyDescent="0.35">
      <c r="A17" s="20" t="s">
        <v>64</v>
      </c>
      <c r="B17" s="20">
        <v>43</v>
      </c>
      <c r="C17" s="20">
        <v>41</v>
      </c>
      <c r="D17" s="20">
        <v>40</v>
      </c>
      <c r="E17" s="20">
        <v>58</v>
      </c>
      <c r="F17" s="20">
        <v>61</v>
      </c>
      <c r="G17" s="20">
        <v>76</v>
      </c>
      <c r="H17" s="20">
        <v>109</v>
      </c>
      <c r="I17" s="20">
        <v>126</v>
      </c>
      <c r="J17" s="20">
        <v>80</v>
      </c>
      <c r="K17" s="20">
        <v>44</v>
      </c>
      <c r="L17" s="20">
        <v>40</v>
      </c>
      <c r="M17" s="20">
        <v>56</v>
      </c>
      <c r="N17" s="20">
        <f t="shared" si="0"/>
        <v>774</v>
      </c>
    </row>
    <row r="18" spans="1:14" x14ac:dyDescent="0.3">
      <c r="A18" s="20" t="s">
        <v>65</v>
      </c>
      <c r="B18" s="20"/>
      <c r="C18" s="20">
        <v>1</v>
      </c>
      <c r="D18" s="20">
        <v>4</v>
      </c>
      <c r="E18" s="20">
        <v>2</v>
      </c>
      <c r="F18" s="20"/>
      <c r="G18" s="20"/>
      <c r="H18" s="20">
        <v>3</v>
      </c>
      <c r="I18" s="20">
        <v>8</v>
      </c>
      <c r="J18" s="20">
        <v>13</v>
      </c>
      <c r="K18" s="20">
        <v>3</v>
      </c>
      <c r="L18" s="20">
        <v>0</v>
      </c>
      <c r="M18" s="20">
        <v>1</v>
      </c>
      <c r="N18" s="8">
        <f t="shared" si="0"/>
        <v>35</v>
      </c>
    </row>
    <row r="19" spans="1:14" x14ac:dyDescent="0.35">
      <c r="A19" s="20" t="s">
        <v>72</v>
      </c>
      <c r="B19" s="20">
        <v>49</v>
      </c>
      <c r="C19" s="20">
        <v>33</v>
      </c>
      <c r="D19" s="20">
        <v>41</v>
      </c>
      <c r="E19" s="20">
        <v>31</v>
      </c>
      <c r="F19" s="20">
        <v>24</v>
      </c>
      <c r="G19" s="20">
        <v>28</v>
      </c>
      <c r="H19" s="20">
        <v>24</v>
      </c>
      <c r="I19" s="20">
        <v>50</v>
      </c>
      <c r="J19" s="20">
        <v>32</v>
      </c>
      <c r="K19" s="20">
        <v>22</v>
      </c>
      <c r="L19" s="20">
        <v>19</v>
      </c>
      <c r="M19" s="20">
        <v>21</v>
      </c>
      <c r="N19" s="20">
        <f t="shared" si="0"/>
        <v>374</v>
      </c>
    </row>
    <row r="20" spans="1:14" x14ac:dyDescent="0.35">
      <c r="A20" s="20" t="s">
        <v>66</v>
      </c>
      <c r="B20" s="20">
        <v>687</v>
      </c>
      <c r="C20" s="20">
        <v>669</v>
      </c>
      <c r="D20" s="20">
        <v>831</v>
      </c>
      <c r="E20" s="20">
        <v>745</v>
      </c>
      <c r="F20" s="20">
        <v>444</v>
      </c>
      <c r="G20" s="20">
        <v>487</v>
      </c>
      <c r="H20" s="20">
        <v>757</v>
      </c>
      <c r="I20" s="20">
        <v>870</v>
      </c>
      <c r="J20" s="20">
        <v>617</v>
      </c>
      <c r="K20" s="20">
        <v>379</v>
      </c>
      <c r="L20" s="20">
        <v>457</v>
      </c>
      <c r="M20" s="20">
        <v>685</v>
      </c>
      <c r="N20" s="20">
        <f t="shared" si="0"/>
        <v>7628</v>
      </c>
    </row>
    <row r="21" spans="1:14" x14ac:dyDescent="0.35">
      <c r="A21" s="20" t="s">
        <v>73</v>
      </c>
      <c r="B21" s="20">
        <v>971</v>
      </c>
      <c r="C21" s="20">
        <v>834</v>
      </c>
      <c r="D21" s="20">
        <v>1056</v>
      </c>
      <c r="E21" s="20">
        <v>1010</v>
      </c>
      <c r="F21" s="20">
        <v>867</v>
      </c>
      <c r="G21" s="20">
        <v>1154</v>
      </c>
      <c r="H21" s="20">
        <v>1214</v>
      </c>
      <c r="I21" s="20">
        <v>1043</v>
      </c>
      <c r="J21" s="20">
        <v>900</v>
      </c>
      <c r="K21" s="20">
        <v>961</v>
      </c>
      <c r="L21" s="20">
        <v>913</v>
      </c>
      <c r="M21" s="20">
        <v>1247</v>
      </c>
      <c r="N21" s="20">
        <f t="shared" si="0"/>
        <v>12170</v>
      </c>
    </row>
    <row r="22" spans="1:14" x14ac:dyDescent="0.35">
      <c r="A22" s="20" t="s">
        <v>74</v>
      </c>
      <c r="B22" s="20">
        <v>870</v>
      </c>
      <c r="C22" s="20">
        <v>724</v>
      </c>
      <c r="D22" s="20">
        <v>954</v>
      </c>
      <c r="E22" s="20">
        <v>848</v>
      </c>
      <c r="F22" s="20">
        <v>764</v>
      </c>
      <c r="G22" s="20">
        <v>791</v>
      </c>
      <c r="H22" s="20">
        <v>740</v>
      </c>
      <c r="I22" s="20">
        <v>842</v>
      </c>
      <c r="J22" s="20">
        <v>725</v>
      </c>
      <c r="K22" s="20">
        <v>678</v>
      </c>
      <c r="L22" s="20">
        <v>536</v>
      </c>
      <c r="M22" s="20">
        <v>609</v>
      </c>
      <c r="N22" s="20">
        <f t="shared" si="0"/>
        <v>9081</v>
      </c>
    </row>
  </sheetData>
  <phoneticPr fontId="5" type="noConversion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425ED-E530-46BB-A347-4F5BD58E3481}">
  <dimension ref="A1:N17"/>
  <sheetViews>
    <sheetView zoomScaleNormal="100" workbookViewId="0">
      <pane xSplit="1" topLeftCell="B1" activePane="topRight" state="frozen"/>
      <selection pane="topRight" activeCell="N2" sqref="N2:N17"/>
    </sheetView>
  </sheetViews>
  <sheetFormatPr defaultColWidth="9" defaultRowHeight="14" x14ac:dyDescent="0.35"/>
  <cols>
    <col min="1" max="1" width="29.1796875" style="27" customWidth="1"/>
    <col min="2" max="5" width="9.1796875" style="27" customWidth="1"/>
    <col min="6" max="7" width="8.54296875" style="27" customWidth="1"/>
    <col min="8" max="9" width="9.1796875" style="27" customWidth="1"/>
    <col min="10" max="10" width="8.54296875" style="27" customWidth="1"/>
    <col min="11" max="13" width="9.1796875" style="27" customWidth="1"/>
    <col min="14" max="14" width="10.7265625" style="27" customWidth="1"/>
    <col min="15" max="16384" width="9" style="27"/>
  </cols>
  <sheetData>
    <row r="1" spans="1:14" x14ac:dyDescent="0.3">
      <c r="A1" s="20"/>
      <c r="B1" s="2" t="s">
        <v>47</v>
      </c>
      <c r="C1" s="10" t="s">
        <v>48</v>
      </c>
      <c r="D1" s="11" t="s">
        <v>49</v>
      </c>
      <c r="E1" s="10" t="s">
        <v>50</v>
      </c>
      <c r="F1" s="2" t="s">
        <v>34</v>
      </c>
      <c r="G1" s="10" t="s">
        <v>35</v>
      </c>
      <c r="H1" s="11" t="s">
        <v>36</v>
      </c>
      <c r="I1" s="10" t="s">
        <v>37</v>
      </c>
      <c r="J1" s="2" t="s">
        <v>38</v>
      </c>
      <c r="K1" s="10" t="s">
        <v>39</v>
      </c>
      <c r="L1" s="11" t="s">
        <v>40</v>
      </c>
      <c r="M1" s="10" t="s">
        <v>41</v>
      </c>
      <c r="N1" s="8" t="s">
        <v>51</v>
      </c>
    </row>
    <row r="2" spans="1:14" x14ac:dyDescent="0.35">
      <c r="A2" s="20" t="s">
        <v>52</v>
      </c>
      <c r="B2" s="20">
        <v>15</v>
      </c>
      <c r="C2" s="20">
        <v>5</v>
      </c>
      <c r="D2" s="20">
        <v>2</v>
      </c>
      <c r="E2" s="20">
        <v>2</v>
      </c>
      <c r="F2" s="20"/>
      <c r="G2" s="20"/>
      <c r="H2" s="20"/>
      <c r="I2" s="20"/>
      <c r="J2" s="20"/>
      <c r="K2" s="20">
        <v>94</v>
      </c>
      <c r="L2" s="20">
        <v>15</v>
      </c>
      <c r="M2" s="20">
        <v>36</v>
      </c>
      <c r="N2" s="20">
        <f t="shared" ref="N2:N17" si="0">M2+L2+K2+J2+I2+H2+G2+F2+E2+D2+C2+B2</f>
        <v>169</v>
      </c>
    </row>
    <row r="3" spans="1:14" x14ac:dyDescent="0.35">
      <c r="A3" s="20" t="s">
        <v>68</v>
      </c>
      <c r="B3" s="20">
        <v>6</v>
      </c>
      <c r="C3" s="20">
        <v>2</v>
      </c>
      <c r="D3" s="20">
        <v>1</v>
      </c>
      <c r="E3" s="20">
        <v>5</v>
      </c>
      <c r="F3" s="20">
        <v>1</v>
      </c>
      <c r="G3" s="20"/>
      <c r="H3" s="20"/>
      <c r="I3" s="20"/>
      <c r="J3" s="20"/>
      <c r="K3" s="20"/>
      <c r="L3" s="20"/>
      <c r="M3" s="20"/>
      <c r="N3" s="20">
        <f t="shared" si="0"/>
        <v>15</v>
      </c>
    </row>
    <row r="4" spans="1:14" x14ac:dyDescent="0.35">
      <c r="A4" s="20" t="s">
        <v>55</v>
      </c>
      <c r="B4" s="20">
        <v>463</v>
      </c>
      <c r="C4" s="20">
        <v>394</v>
      </c>
      <c r="D4" s="20">
        <v>402</v>
      </c>
      <c r="E4" s="20">
        <v>436</v>
      </c>
      <c r="F4" s="20">
        <v>593</v>
      </c>
      <c r="G4" s="20">
        <v>670</v>
      </c>
      <c r="H4" s="20">
        <v>669</v>
      </c>
      <c r="I4" s="20">
        <v>658</v>
      </c>
      <c r="J4" s="20">
        <v>603</v>
      </c>
      <c r="K4" s="20">
        <v>564</v>
      </c>
      <c r="L4" s="20">
        <v>463</v>
      </c>
      <c r="M4" s="20">
        <v>589</v>
      </c>
      <c r="N4" s="20">
        <f t="shared" si="0"/>
        <v>6504</v>
      </c>
    </row>
    <row r="5" spans="1:14" x14ac:dyDescent="0.35">
      <c r="A5" s="20" t="s">
        <v>69</v>
      </c>
      <c r="B5" s="20">
        <v>781</v>
      </c>
      <c r="C5" s="20">
        <v>821</v>
      </c>
      <c r="D5" s="20">
        <v>1075</v>
      </c>
      <c r="E5" s="20">
        <v>1169</v>
      </c>
      <c r="F5" s="20">
        <v>921</v>
      </c>
      <c r="G5" s="20">
        <v>916</v>
      </c>
      <c r="H5" s="20">
        <v>923</v>
      </c>
      <c r="I5" s="20">
        <v>936</v>
      </c>
      <c r="J5" s="20">
        <v>798</v>
      </c>
      <c r="K5" s="20">
        <v>739</v>
      </c>
      <c r="L5" s="20">
        <v>564</v>
      </c>
      <c r="M5" s="20">
        <v>772</v>
      </c>
      <c r="N5" s="20">
        <f t="shared" si="0"/>
        <v>10415</v>
      </c>
    </row>
    <row r="6" spans="1:14" x14ac:dyDescent="0.35">
      <c r="A6" s="20" t="s">
        <v>70</v>
      </c>
      <c r="B6" s="20"/>
      <c r="C6" s="20"/>
      <c r="D6" s="20"/>
      <c r="E6" s="20"/>
      <c r="F6" s="20"/>
      <c r="G6" s="20"/>
      <c r="H6" s="20"/>
      <c r="I6" s="20"/>
      <c r="J6" s="20">
        <v>169</v>
      </c>
      <c r="K6" s="20">
        <v>475</v>
      </c>
      <c r="L6" s="20">
        <v>182</v>
      </c>
      <c r="M6" s="20">
        <v>429</v>
      </c>
      <c r="N6" s="20">
        <f t="shared" si="0"/>
        <v>1255</v>
      </c>
    </row>
    <row r="7" spans="1:14" s="28" customFormat="1" x14ac:dyDescent="0.35">
      <c r="A7" s="20" t="s">
        <v>57</v>
      </c>
      <c r="B7" s="20">
        <v>19</v>
      </c>
      <c r="C7" s="20">
        <v>11</v>
      </c>
      <c r="D7" s="20">
        <v>16</v>
      </c>
      <c r="E7" s="20">
        <v>17</v>
      </c>
      <c r="F7" s="20">
        <v>12</v>
      </c>
      <c r="G7" s="20">
        <v>16</v>
      </c>
      <c r="H7" s="20">
        <v>14</v>
      </c>
      <c r="I7" s="20">
        <v>16</v>
      </c>
      <c r="J7" s="20">
        <v>7</v>
      </c>
      <c r="K7" s="20">
        <v>11</v>
      </c>
      <c r="L7" s="20">
        <v>5</v>
      </c>
      <c r="M7" s="20">
        <v>7</v>
      </c>
      <c r="N7" s="20">
        <f t="shared" si="0"/>
        <v>151</v>
      </c>
    </row>
    <row r="8" spans="1:14" x14ac:dyDescent="0.35">
      <c r="A8" s="20" t="s">
        <v>58</v>
      </c>
      <c r="B8" s="20">
        <v>112</v>
      </c>
      <c r="C8" s="20">
        <v>83</v>
      </c>
      <c r="D8" s="20">
        <v>97</v>
      </c>
      <c r="E8" s="20">
        <v>141</v>
      </c>
      <c r="F8" s="20">
        <v>106</v>
      </c>
      <c r="G8" s="20">
        <v>95</v>
      </c>
      <c r="H8" s="20">
        <v>94</v>
      </c>
      <c r="I8" s="20">
        <v>91</v>
      </c>
      <c r="J8" s="20">
        <v>109</v>
      </c>
      <c r="K8" s="20">
        <v>99</v>
      </c>
      <c r="L8" s="20">
        <v>49</v>
      </c>
      <c r="M8" s="20">
        <v>105</v>
      </c>
      <c r="N8" s="20">
        <f t="shared" si="0"/>
        <v>1181</v>
      </c>
    </row>
    <row r="9" spans="1:14" x14ac:dyDescent="0.35">
      <c r="A9" s="20" t="s">
        <v>71</v>
      </c>
      <c r="B9" s="20">
        <v>46</v>
      </c>
      <c r="C9" s="20">
        <v>38</v>
      </c>
      <c r="D9" s="20">
        <v>44</v>
      </c>
      <c r="E9" s="20">
        <v>37</v>
      </c>
      <c r="F9" s="20">
        <v>28</v>
      </c>
      <c r="G9" s="20">
        <v>35</v>
      </c>
      <c r="H9" s="20">
        <v>47</v>
      </c>
      <c r="I9" s="20">
        <v>68</v>
      </c>
      <c r="J9" s="20">
        <v>47</v>
      </c>
      <c r="K9" s="20">
        <v>47</v>
      </c>
      <c r="L9" s="20">
        <v>46</v>
      </c>
      <c r="M9" s="20">
        <v>21</v>
      </c>
      <c r="N9" s="20">
        <f t="shared" si="0"/>
        <v>504</v>
      </c>
    </row>
    <row r="10" spans="1:14" x14ac:dyDescent="0.35">
      <c r="A10" s="20" t="s">
        <v>61</v>
      </c>
      <c r="B10" s="20"/>
      <c r="C10" s="20">
        <v>1</v>
      </c>
      <c r="D10" s="20"/>
      <c r="E10" s="20"/>
      <c r="F10" s="20"/>
      <c r="G10" s="20"/>
      <c r="H10" s="20">
        <v>2</v>
      </c>
      <c r="I10" s="20"/>
      <c r="J10" s="20">
        <v>1</v>
      </c>
      <c r="K10" s="20"/>
      <c r="L10" s="20"/>
      <c r="M10" s="20"/>
      <c r="N10" s="20">
        <f t="shared" si="0"/>
        <v>4</v>
      </c>
    </row>
    <row r="11" spans="1:14" x14ac:dyDescent="0.35">
      <c r="A11" s="20" t="s">
        <v>63</v>
      </c>
      <c r="B11" s="20">
        <v>72</v>
      </c>
      <c r="C11" s="20">
        <v>90</v>
      </c>
      <c r="D11" s="20">
        <v>125</v>
      </c>
      <c r="E11" s="20">
        <v>179</v>
      </c>
      <c r="F11" s="20">
        <v>171</v>
      </c>
      <c r="G11" s="20">
        <v>133</v>
      </c>
      <c r="H11" s="20">
        <v>127</v>
      </c>
      <c r="I11" s="20">
        <v>143</v>
      </c>
      <c r="J11" s="20">
        <v>144</v>
      </c>
      <c r="K11" s="20">
        <v>130</v>
      </c>
      <c r="L11" s="20">
        <v>85</v>
      </c>
      <c r="M11" s="20">
        <v>98</v>
      </c>
      <c r="N11" s="20">
        <f t="shared" si="0"/>
        <v>1497</v>
      </c>
    </row>
    <row r="12" spans="1:14" x14ac:dyDescent="0.35">
      <c r="A12" s="20" t="s">
        <v>64</v>
      </c>
      <c r="B12" s="20">
        <v>60</v>
      </c>
      <c r="C12" s="20">
        <v>69</v>
      </c>
      <c r="D12" s="20">
        <v>83</v>
      </c>
      <c r="E12" s="20">
        <v>70</v>
      </c>
      <c r="F12" s="20">
        <v>64</v>
      </c>
      <c r="G12" s="20">
        <v>80</v>
      </c>
      <c r="H12" s="20">
        <v>51</v>
      </c>
      <c r="I12" s="20">
        <v>67</v>
      </c>
      <c r="J12" s="20">
        <v>54</v>
      </c>
      <c r="K12" s="20">
        <v>43</v>
      </c>
      <c r="L12" s="20">
        <v>39</v>
      </c>
      <c r="M12" s="20">
        <v>46</v>
      </c>
      <c r="N12" s="20">
        <f t="shared" si="0"/>
        <v>726</v>
      </c>
    </row>
    <row r="13" spans="1:14" x14ac:dyDescent="0.35">
      <c r="A13" s="20" t="s">
        <v>65</v>
      </c>
      <c r="B13" s="20">
        <v>13</v>
      </c>
      <c r="C13" s="20">
        <v>11</v>
      </c>
      <c r="D13" s="20">
        <v>8</v>
      </c>
      <c r="E13" s="20">
        <v>7</v>
      </c>
      <c r="F13" s="20">
        <v>4</v>
      </c>
      <c r="G13" s="20">
        <v>8</v>
      </c>
      <c r="H13" s="20">
        <v>13</v>
      </c>
      <c r="I13" s="20">
        <v>19</v>
      </c>
      <c r="J13" s="20">
        <v>10</v>
      </c>
      <c r="K13" s="20">
        <v>5</v>
      </c>
      <c r="L13" s="20">
        <v>0</v>
      </c>
      <c r="M13" s="20">
        <v>1</v>
      </c>
      <c r="N13" s="20">
        <f t="shared" si="0"/>
        <v>99</v>
      </c>
    </row>
    <row r="14" spans="1:14" x14ac:dyDescent="0.35">
      <c r="A14" s="20" t="s">
        <v>72</v>
      </c>
      <c r="B14" s="20"/>
      <c r="C14" s="20"/>
      <c r="D14" s="20"/>
      <c r="E14" s="20">
        <v>32</v>
      </c>
      <c r="F14" s="20">
        <v>129</v>
      </c>
      <c r="G14" s="20">
        <v>40</v>
      </c>
      <c r="H14" s="20">
        <v>66</v>
      </c>
      <c r="I14" s="20">
        <v>89</v>
      </c>
      <c r="J14" s="20">
        <v>69</v>
      </c>
      <c r="K14" s="20">
        <v>46</v>
      </c>
      <c r="L14" s="20">
        <v>20</v>
      </c>
      <c r="M14" s="20">
        <v>46</v>
      </c>
      <c r="N14" s="20">
        <f t="shared" si="0"/>
        <v>537</v>
      </c>
    </row>
    <row r="15" spans="1:14" x14ac:dyDescent="0.35">
      <c r="A15" s="20" t="s">
        <v>66</v>
      </c>
      <c r="B15" s="20">
        <v>1581</v>
      </c>
      <c r="C15" s="20">
        <v>1644</v>
      </c>
      <c r="D15" s="20">
        <v>1503</v>
      </c>
      <c r="E15" s="20">
        <v>1444</v>
      </c>
      <c r="F15" s="20">
        <v>1184</v>
      </c>
      <c r="G15" s="20">
        <v>1035</v>
      </c>
      <c r="H15" s="20">
        <v>1028</v>
      </c>
      <c r="I15" s="20">
        <v>1182</v>
      </c>
      <c r="J15" s="20">
        <v>1008</v>
      </c>
      <c r="K15" s="20">
        <v>821</v>
      </c>
      <c r="L15" s="20">
        <v>483</v>
      </c>
      <c r="M15" s="20">
        <v>734</v>
      </c>
      <c r="N15" s="20">
        <f t="shared" si="0"/>
        <v>13647</v>
      </c>
    </row>
    <row r="16" spans="1:14" x14ac:dyDescent="0.35">
      <c r="A16" s="20" t="s">
        <v>73</v>
      </c>
      <c r="B16" s="20">
        <v>914</v>
      </c>
      <c r="C16" s="20">
        <v>1050</v>
      </c>
      <c r="D16" s="20">
        <v>1261</v>
      </c>
      <c r="E16" s="20">
        <v>1717</v>
      </c>
      <c r="F16" s="20">
        <v>1915</v>
      </c>
      <c r="G16" s="20">
        <v>2020</v>
      </c>
      <c r="H16" s="20">
        <v>1850</v>
      </c>
      <c r="I16" s="20">
        <v>1636</v>
      </c>
      <c r="J16" s="20">
        <v>1347</v>
      </c>
      <c r="K16" s="20">
        <v>1173</v>
      </c>
      <c r="L16" s="20">
        <v>812</v>
      </c>
      <c r="M16" s="20">
        <v>1109</v>
      </c>
      <c r="N16" s="20">
        <f t="shared" si="0"/>
        <v>16804</v>
      </c>
    </row>
    <row r="17" spans="1:14" x14ac:dyDescent="0.35">
      <c r="A17" s="20" t="s">
        <v>74</v>
      </c>
      <c r="B17" s="20"/>
      <c r="C17" s="20"/>
      <c r="D17" s="20"/>
      <c r="E17" s="20"/>
      <c r="F17" s="20"/>
      <c r="G17" s="20"/>
      <c r="H17" s="20"/>
      <c r="I17" s="20"/>
      <c r="J17" s="20">
        <v>304</v>
      </c>
      <c r="K17" s="20">
        <v>815</v>
      </c>
      <c r="L17" s="20">
        <v>468</v>
      </c>
      <c r="M17" s="20">
        <v>743</v>
      </c>
      <c r="N17" s="20">
        <f t="shared" si="0"/>
        <v>2330</v>
      </c>
    </row>
  </sheetData>
  <phoneticPr fontId="5" type="noConversion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7AD71-7DEC-4ED9-A3BD-10A4C8AB5359}">
  <dimension ref="A1:N17"/>
  <sheetViews>
    <sheetView zoomScale="90" zoomScaleNormal="90" workbookViewId="0">
      <pane xSplit="1" ySplit="1" topLeftCell="B2" activePane="bottomRight" state="frozen"/>
      <selection pane="topRight" activeCell="C1" sqref="C1"/>
      <selection pane="bottomLeft" activeCell="A4" sqref="A4"/>
      <selection pane="bottomRight" activeCell="N11" sqref="N11:N12"/>
    </sheetView>
  </sheetViews>
  <sheetFormatPr defaultColWidth="9" defaultRowHeight="16.5" x14ac:dyDescent="0.35"/>
  <cols>
    <col min="1" max="1" width="25.90625" style="25" customWidth="1"/>
    <col min="2" max="5" width="9.1796875" style="25" bestFit="1" customWidth="1"/>
    <col min="6" max="7" width="8.54296875" style="25" bestFit="1" customWidth="1"/>
    <col min="8" max="9" width="9.1796875" style="25" bestFit="1" customWidth="1"/>
    <col min="10" max="10" width="8.54296875" style="25" bestFit="1" customWidth="1"/>
    <col min="11" max="13" width="9.1796875" style="25" bestFit="1" customWidth="1"/>
    <col min="14" max="14" width="10.7265625" style="25" bestFit="1" customWidth="1"/>
    <col min="15" max="16384" width="9" style="25"/>
  </cols>
  <sheetData>
    <row r="1" spans="1:14" x14ac:dyDescent="0.3">
      <c r="A1" s="15"/>
      <c r="B1" s="2" t="s">
        <v>47</v>
      </c>
      <c r="C1" s="10" t="s">
        <v>48</v>
      </c>
      <c r="D1" s="11" t="s">
        <v>49</v>
      </c>
      <c r="E1" s="10" t="s">
        <v>50</v>
      </c>
      <c r="F1" s="2" t="s">
        <v>34</v>
      </c>
      <c r="G1" s="10" t="s">
        <v>35</v>
      </c>
      <c r="H1" s="11" t="s">
        <v>36</v>
      </c>
      <c r="I1" s="10" t="s">
        <v>37</v>
      </c>
      <c r="J1" s="2" t="s">
        <v>38</v>
      </c>
      <c r="K1" s="10" t="s">
        <v>39</v>
      </c>
      <c r="L1" s="11" t="s">
        <v>40</v>
      </c>
      <c r="M1" s="10" t="s">
        <v>41</v>
      </c>
      <c r="N1" s="8" t="s">
        <v>51</v>
      </c>
    </row>
    <row r="2" spans="1:14" x14ac:dyDescent="0.3">
      <c r="A2" s="5" t="s">
        <v>52</v>
      </c>
      <c r="B2" s="5">
        <v>10</v>
      </c>
      <c r="C2" s="5">
        <v>10</v>
      </c>
      <c r="D2" s="5">
        <v>4</v>
      </c>
      <c r="E2" s="5">
        <v>7</v>
      </c>
      <c r="F2" s="5">
        <v>3</v>
      </c>
      <c r="G2" s="5">
        <v>11</v>
      </c>
      <c r="H2" s="5">
        <v>3</v>
      </c>
      <c r="I2" s="5">
        <v>8</v>
      </c>
      <c r="J2" s="5">
        <v>6</v>
      </c>
      <c r="K2" s="5">
        <v>5</v>
      </c>
      <c r="L2" s="8">
        <v>9</v>
      </c>
      <c r="M2" s="13">
        <v>15</v>
      </c>
      <c r="N2" s="19">
        <f t="shared" ref="N2:N16" si="0">B2+C2+D2+E2+F2+G2+H2+I2+J2+K2+L2+M2</f>
        <v>91</v>
      </c>
    </row>
    <row r="3" spans="1:14" x14ac:dyDescent="0.3">
      <c r="A3" s="5" t="s">
        <v>53</v>
      </c>
      <c r="B3" s="5"/>
      <c r="C3" s="5"/>
      <c r="D3" s="5"/>
      <c r="E3" s="5"/>
      <c r="F3" s="5"/>
      <c r="G3" s="5"/>
      <c r="H3" s="5"/>
      <c r="I3" s="5"/>
      <c r="J3" s="5"/>
      <c r="K3" s="5"/>
      <c r="L3" s="8">
        <v>8</v>
      </c>
      <c r="M3" s="13"/>
      <c r="N3" s="19">
        <f t="shared" si="0"/>
        <v>8</v>
      </c>
    </row>
    <row r="4" spans="1:14" x14ac:dyDescent="0.3">
      <c r="A4" s="5" t="s">
        <v>54</v>
      </c>
      <c r="B4" s="5"/>
      <c r="C4" s="5"/>
      <c r="D4" s="5"/>
      <c r="E4" s="5"/>
      <c r="F4" s="5"/>
      <c r="G4" s="5"/>
      <c r="H4" s="5"/>
      <c r="I4" s="5"/>
      <c r="J4" s="5"/>
      <c r="K4" s="5">
        <v>1</v>
      </c>
      <c r="L4" s="5"/>
      <c r="M4" s="5">
        <v>0</v>
      </c>
      <c r="N4" s="19">
        <f t="shared" si="0"/>
        <v>1</v>
      </c>
    </row>
    <row r="5" spans="1:14" x14ac:dyDescent="0.3">
      <c r="A5" s="5" t="s">
        <v>55</v>
      </c>
      <c r="B5" s="20">
        <v>188</v>
      </c>
      <c r="C5" s="20">
        <v>196</v>
      </c>
      <c r="D5" s="20">
        <v>164</v>
      </c>
      <c r="E5" s="20">
        <v>189</v>
      </c>
      <c r="F5" s="20">
        <v>269</v>
      </c>
      <c r="G5" s="20">
        <v>333</v>
      </c>
      <c r="H5" s="20">
        <v>358</v>
      </c>
      <c r="I5" s="20">
        <v>273</v>
      </c>
      <c r="J5" s="20">
        <v>135</v>
      </c>
      <c r="K5" s="20">
        <v>351</v>
      </c>
      <c r="L5" s="20">
        <v>433</v>
      </c>
      <c r="M5" s="21">
        <v>717</v>
      </c>
      <c r="N5" s="22">
        <f t="shared" si="0"/>
        <v>3606</v>
      </c>
    </row>
    <row r="6" spans="1:14" x14ac:dyDescent="0.3">
      <c r="A6" s="5" t="s">
        <v>56</v>
      </c>
      <c r="B6" s="20">
        <v>637</v>
      </c>
      <c r="C6" s="20">
        <v>832</v>
      </c>
      <c r="D6" s="20">
        <v>716</v>
      </c>
      <c r="E6" s="20">
        <v>902</v>
      </c>
      <c r="F6" s="20">
        <v>773</v>
      </c>
      <c r="G6" s="20">
        <v>706</v>
      </c>
      <c r="H6" s="20">
        <v>704</v>
      </c>
      <c r="I6" s="20">
        <v>821</v>
      </c>
      <c r="J6" s="20">
        <v>927</v>
      </c>
      <c r="K6" s="20">
        <v>696</v>
      </c>
      <c r="L6" s="20">
        <v>671</v>
      </c>
      <c r="M6" s="21">
        <v>863</v>
      </c>
      <c r="N6" s="22">
        <f t="shared" si="0"/>
        <v>9248</v>
      </c>
    </row>
    <row r="7" spans="1:14" x14ac:dyDescent="0.3">
      <c r="A7" s="5" t="s">
        <v>57</v>
      </c>
      <c r="B7" s="20"/>
      <c r="C7" s="20"/>
      <c r="D7" s="20"/>
      <c r="E7" s="20"/>
      <c r="F7" s="20"/>
      <c r="G7" s="20"/>
      <c r="H7" s="20"/>
      <c r="I7" s="20">
        <v>1</v>
      </c>
      <c r="J7" s="20"/>
      <c r="K7" s="20">
        <v>17</v>
      </c>
      <c r="L7" s="20">
        <v>8</v>
      </c>
      <c r="M7" s="21">
        <v>11</v>
      </c>
      <c r="N7" s="22">
        <f t="shared" si="0"/>
        <v>37</v>
      </c>
    </row>
    <row r="8" spans="1:14" x14ac:dyDescent="0.35">
      <c r="A8" s="5" t="s">
        <v>58</v>
      </c>
      <c r="B8" s="20">
        <v>93</v>
      </c>
      <c r="C8" s="20">
        <v>86</v>
      </c>
      <c r="D8" s="20">
        <v>72</v>
      </c>
      <c r="E8" s="20">
        <v>56</v>
      </c>
      <c r="F8" s="20">
        <v>95</v>
      </c>
      <c r="G8" s="20">
        <v>110</v>
      </c>
      <c r="H8" s="20">
        <v>94</v>
      </c>
      <c r="I8" s="20">
        <v>95</v>
      </c>
      <c r="J8" s="20">
        <v>91</v>
      </c>
      <c r="K8" s="20">
        <v>73</v>
      </c>
      <c r="L8" s="20">
        <v>72</v>
      </c>
      <c r="M8" s="20">
        <v>122</v>
      </c>
      <c r="N8" s="20">
        <f t="shared" si="0"/>
        <v>1059</v>
      </c>
    </row>
    <row r="9" spans="1:14" x14ac:dyDescent="0.3">
      <c r="A9" s="5" t="s">
        <v>59</v>
      </c>
      <c r="B9" s="20">
        <v>58</v>
      </c>
      <c r="C9" s="20">
        <v>59</v>
      </c>
      <c r="D9" s="20">
        <v>84</v>
      </c>
      <c r="E9" s="20">
        <v>71</v>
      </c>
      <c r="F9" s="20">
        <v>62</v>
      </c>
      <c r="G9" s="20">
        <v>46</v>
      </c>
      <c r="H9" s="20">
        <v>34</v>
      </c>
      <c r="I9" s="20">
        <v>97</v>
      </c>
      <c r="J9" s="20">
        <v>36</v>
      </c>
      <c r="K9" s="20">
        <v>27</v>
      </c>
      <c r="L9" s="23">
        <v>35</v>
      </c>
      <c r="M9" s="13">
        <v>59</v>
      </c>
      <c r="N9" s="22">
        <f t="shared" si="0"/>
        <v>668</v>
      </c>
    </row>
    <row r="10" spans="1:14" x14ac:dyDescent="0.3">
      <c r="A10" s="5" t="s">
        <v>61</v>
      </c>
      <c r="B10" s="20"/>
      <c r="C10" s="20"/>
      <c r="D10" s="20"/>
      <c r="E10" s="20"/>
      <c r="F10" s="20">
        <v>1</v>
      </c>
      <c r="G10" s="20"/>
      <c r="H10" s="20"/>
      <c r="I10" s="20">
        <v>1</v>
      </c>
      <c r="J10" s="20"/>
      <c r="K10" s="20"/>
      <c r="L10" s="23"/>
      <c r="M10" s="24">
        <v>0</v>
      </c>
      <c r="N10" s="22">
        <f t="shared" si="0"/>
        <v>2</v>
      </c>
    </row>
    <row r="11" spans="1:14" x14ac:dyDescent="0.3">
      <c r="A11" s="15" t="s">
        <v>62</v>
      </c>
      <c r="B11" s="5">
        <v>6</v>
      </c>
      <c r="C11" s="5">
        <v>2</v>
      </c>
      <c r="D11" s="5">
        <v>3</v>
      </c>
      <c r="E11" s="5">
        <v>2</v>
      </c>
      <c r="F11" s="5">
        <v>2</v>
      </c>
      <c r="G11" s="5"/>
      <c r="H11" s="5">
        <v>1</v>
      </c>
      <c r="I11" s="5">
        <v>3</v>
      </c>
      <c r="J11" s="5"/>
      <c r="K11" s="5">
        <v>7</v>
      </c>
      <c r="L11" s="5"/>
      <c r="M11" s="6">
        <v>3</v>
      </c>
      <c r="N11" s="19">
        <f t="shared" si="0"/>
        <v>29</v>
      </c>
    </row>
    <row r="12" spans="1:14" x14ac:dyDescent="0.3">
      <c r="A12" s="16" t="s">
        <v>63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3">
        <v>35</v>
      </c>
      <c r="M12" s="13">
        <v>84</v>
      </c>
      <c r="N12" s="19">
        <f t="shared" si="0"/>
        <v>119</v>
      </c>
    </row>
    <row r="13" spans="1:14" x14ac:dyDescent="0.3">
      <c r="A13" s="16" t="s">
        <v>64</v>
      </c>
      <c r="B13" s="20">
        <v>32</v>
      </c>
      <c r="C13" s="20">
        <v>35</v>
      </c>
      <c r="D13" s="20">
        <v>38</v>
      </c>
      <c r="E13" s="20">
        <v>28</v>
      </c>
      <c r="F13" s="20">
        <v>31</v>
      </c>
      <c r="G13" s="20">
        <v>27</v>
      </c>
      <c r="H13" s="20">
        <v>25</v>
      </c>
      <c r="I13" s="20">
        <v>26</v>
      </c>
      <c r="J13" s="20">
        <v>44</v>
      </c>
      <c r="K13" s="20">
        <v>26</v>
      </c>
      <c r="L13" s="23">
        <v>51</v>
      </c>
      <c r="M13" s="13">
        <v>48</v>
      </c>
      <c r="N13" s="22">
        <f t="shared" si="0"/>
        <v>411</v>
      </c>
    </row>
    <row r="14" spans="1:14" x14ac:dyDescent="0.3">
      <c r="A14" s="5" t="s">
        <v>65</v>
      </c>
      <c r="B14" s="5">
        <v>22</v>
      </c>
      <c r="C14" s="5">
        <v>9</v>
      </c>
      <c r="D14" s="5">
        <v>19</v>
      </c>
      <c r="E14" s="5">
        <v>20</v>
      </c>
      <c r="F14" s="5">
        <v>25</v>
      </c>
      <c r="G14" s="5">
        <v>24</v>
      </c>
      <c r="H14" s="5">
        <v>20</v>
      </c>
      <c r="I14" s="5">
        <v>13</v>
      </c>
      <c r="J14" s="5">
        <v>10</v>
      </c>
      <c r="K14" s="5">
        <v>8</v>
      </c>
      <c r="L14" s="8">
        <v>34</v>
      </c>
      <c r="M14" s="13">
        <v>19</v>
      </c>
      <c r="N14" s="19">
        <f t="shared" si="0"/>
        <v>223</v>
      </c>
    </row>
    <row r="15" spans="1:14" x14ac:dyDescent="0.3">
      <c r="A15" s="16" t="s">
        <v>66</v>
      </c>
      <c r="B15" s="20">
        <v>1055</v>
      </c>
      <c r="C15" s="20">
        <v>1595</v>
      </c>
      <c r="D15" s="20">
        <v>1296</v>
      </c>
      <c r="E15" s="20">
        <v>1444</v>
      </c>
      <c r="F15" s="20">
        <v>1341</v>
      </c>
      <c r="G15" s="20">
        <v>1225</v>
      </c>
      <c r="H15" s="20">
        <v>1602</v>
      </c>
      <c r="I15" s="20">
        <v>1635</v>
      </c>
      <c r="J15" s="20">
        <v>1375</v>
      </c>
      <c r="K15" s="20">
        <v>1542</v>
      </c>
      <c r="L15" s="23">
        <v>1455</v>
      </c>
      <c r="M15" s="24">
        <v>1509</v>
      </c>
      <c r="N15" s="22">
        <f t="shared" si="0"/>
        <v>17074</v>
      </c>
    </row>
    <row r="16" spans="1:14" x14ac:dyDescent="0.3">
      <c r="A16" s="5" t="s">
        <v>67</v>
      </c>
      <c r="B16" s="20">
        <v>218</v>
      </c>
      <c r="C16" s="20">
        <v>185</v>
      </c>
      <c r="D16" s="20">
        <v>176</v>
      </c>
      <c r="E16" s="20">
        <v>300</v>
      </c>
      <c r="F16" s="20">
        <v>431</v>
      </c>
      <c r="G16" s="20">
        <v>523</v>
      </c>
      <c r="H16" s="20">
        <v>462</v>
      </c>
      <c r="I16" s="20">
        <v>571</v>
      </c>
      <c r="J16" s="20">
        <v>1047</v>
      </c>
      <c r="K16" s="20">
        <v>1141</v>
      </c>
      <c r="L16" s="23">
        <v>874</v>
      </c>
      <c r="M16" s="24">
        <v>1243</v>
      </c>
      <c r="N16" s="22">
        <f t="shared" si="0"/>
        <v>7171</v>
      </c>
    </row>
    <row r="17" spans="7:7" ht="17.5" x14ac:dyDescent="0.35">
      <c r="G17" s="26"/>
    </row>
  </sheetData>
  <phoneticPr fontId="5" type="noConversion"/>
  <pageMargins left="0.7" right="0.7" top="0.75" bottom="0.75" header="0.3" footer="0.3"/>
  <pageSetup orientation="portrait" horizontalDpi="4294967294" verticalDpi="4294967294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87F9D-1E03-496E-97AC-EACA4AE0CFF3}">
  <dimension ref="A1:N32"/>
  <sheetViews>
    <sheetView workbookViewId="0">
      <pane xSplit="1" ySplit="1" topLeftCell="B2" activePane="bottomRight" state="frozen"/>
      <selection pane="topRight" activeCell="C1" sqref="C1"/>
      <selection pane="bottomLeft" activeCell="A4" sqref="A4"/>
      <selection pane="bottomRight" activeCell="N2" sqref="N2:N18"/>
    </sheetView>
  </sheetViews>
  <sheetFormatPr defaultColWidth="9" defaultRowHeight="12" x14ac:dyDescent="0.35"/>
  <cols>
    <col min="1" max="1" width="15.453125" style="12" bestFit="1" customWidth="1"/>
    <col min="2" max="4" width="9.7265625" style="12" customWidth="1"/>
    <col min="5" max="5" width="11" style="12" customWidth="1"/>
    <col min="6" max="13" width="9.7265625" style="12" customWidth="1"/>
    <col min="14" max="16384" width="9" style="12"/>
  </cols>
  <sheetData>
    <row r="1" spans="1:14" x14ac:dyDescent="0.3">
      <c r="A1" s="15"/>
      <c r="B1" s="2" t="s">
        <v>0</v>
      </c>
      <c r="C1" s="10" t="s">
        <v>1</v>
      </c>
      <c r="D1" s="11" t="s">
        <v>2</v>
      </c>
      <c r="E1" s="10" t="s">
        <v>3</v>
      </c>
      <c r="F1" s="2" t="s">
        <v>34</v>
      </c>
      <c r="G1" s="10" t="s">
        <v>35</v>
      </c>
      <c r="H1" s="11" t="s">
        <v>36</v>
      </c>
      <c r="I1" s="10" t="s">
        <v>37</v>
      </c>
      <c r="J1" s="2" t="s">
        <v>38</v>
      </c>
      <c r="K1" s="10" t="s">
        <v>39</v>
      </c>
      <c r="L1" s="11" t="s">
        <v>40</v>
      </c>
      <c r="M1" s="10" t="s">
        <v>41</v>
      </c>
      <c r="N1" s="8" t="s">
        <v>12</v>
      </c>
    </row>
    <row r="2" spans="1:14" x14ac:dyDescent="0.3">
      <c r="A2" s="5" t="s">
        <v>13</v>
      </c>
      <c r="B2" s="5"/>
      <c r="C2" s="5"/>
      <c r="D2" s="5">
        <v>1</v>
      </c>
      <c r="E2" s="5"/>
      <c r="F2" s="5">
        <v>1</v>
      </c>
      <c r="G2" s="5"/>
      <c r="H2" s="5">
        <v>1</v>
      </c>
      <c r="I2" s="5">
        <v>1</v>
      </c>
      <c r="J2" s="5"/>
      <c r="K2" s="5"/>
      <c r="L2" s="8"/>
      <c r="M2" s="13"/>
      <c r="N2" s="19">
        <f t="shared" ref="N2:N8" si="0">B2+C2+D2+E2+F2+G2+H2+I2+J2+K2+L2+M2</f>
        <v>4</v>
      </c>
    </row>
    <row r="3" spans="1:14" x14ac:dyDescent="0.3">
      <c r="A3" s="5" t="s">
        <v>14</v>
      </c>
      <c r="B3" s="5"/>
      <c r="C3" s="5"/>
      <c r="D3" s="5"/>
      <c r="E3" s="5">
        <v>1</v>
      </c>
      <c r="F3" s="5">
        <v>1</v>
      </c>
      <c r="G3" s="5"/>
      <c r="H3" s="5">
        <v>1</v>
      </c>
      <c r="I3" s="5">
        <v>1</v>
      </c>
      <c r="J3" s="5"/>
      <c r="K3" s="5"/>
      <c r="L3" s="8"/>
      <c r="M3" s="13"/>
      <c r="N3" s="19">
        <f t="shared" si="0"/>
        <v>4</v>
      </c>
    </row>
    <row r="4" spans="1:14" x14ac:dyDescent="0.3">
      <c r="A4" s="5" t="s">
        <v>15</v>
      </c>
      <c r="B4" s="5"/>
      <c r="C4" s="5"/>
      <c r="D4" s="5"/>
      <c r="E4" s="5">
        <v>1</v>
      </c>
      <c r="F4" s="5">
        <v>2</v>
      </c>
      <c r="G4" s="5"/>
      <c r="H4" s="5"/>
      <c r="I4" s="5"/>
      <c r="J4" s="5"/>
      <c r="K4" s="5"/>
      <c r="L4" s="8"/>
      <c r="M4" s="13"/>
      <c r="N4" s="19">
        <f t="shared" si="0"/>
        <v>3</v>
      </c>
    </row>
    <row r="5" spans="1:14" x14ac:dyDescent="0.3">
      <c r="A5" s="5" t="s">
        <v>16</v>
      </c>
      <c r="B5" s="5">
        <f t="shared" ref="B5:M5" si="1">SUM(B2:B4)</f>
        <v>0</v>
      </c>
      <c r="C5" s="5">
        <f t="shared" si="1"/>
        <v>0</v>
      </c>
      <c r="D5" s="5">
        <f t="shared" si="1"/>
        <v>1</v>
      </c>
      <c r="E5" s="5">
        <f t="shared" si="1"/>
        <v>2</v>
      </c>
      <c r="F5" s="5">
        <f t="shared" si="1"/>
        <v>4</v>
      </c>
      <c r="G5" s="5">
        <f t="shared" si="1"/>
        <v>0</v>
      </c>
      <c r="H5" s="5">
        <f t="shared" si="1"/>
        <v>2</v>
      </c>
      <c r="I5" s="5">
        <f t="shared" si="1"/>
        <v>2</v>
      </c>
      <c r="J5" s="5">
        <f t="shared" si="1"/>
        <v>0</v>
      </c>
      <c r="K5" s="5">
        <f t="shared" si="1"/>
        <v>0</v>
      </c>
      <c r="L5" s="5">
        <f t="shared" si="1"/>
        <v>0</v>
      </c>
      <c r="M5" s="5">
        <f t="shared" si="1"/>
        <v>0</v>
      </c>
      <c r="N5" s="19">
        <f t="shared" si="0"/>
        <v>11</v>
      </c>
    </row>
    <row r="6" spans="1:14" x14ac:dyDescent="0.3">
      <c r="A6" s="5" t="s">
        <v>17</v>
      </c>
      <c r="B6" s="20">
        <v>229</v>
      </c>
      <c r="C6" s="20">
        <v>244</v>
      </c>
      <c r="D6" s="20">
        <v>339</v>
      </c>
      <c r="E6" s="20">
        <v>602</v>
      </c>
      <c r="F6" s="20">
        <v>478</v>
      </c>
      <c r="G6" s="20">
        <v>322</v>
      </c>
      <c r="H6" s="20">
        <v>182</v>
      </c>
      <c r="I6" s="20">
        <v>187</v>
      </c>
      <c r="J6" s="20">
        <v>129</v>
      </c>
      <c r="K6" s="20">
        <v>335</v>
      </c>
      <c r="L6" s="20">
        <v>356</v>
      </c>
      <c r="M6" s="21">
        <v>358</v>
      </c>
      <c r="N6" s="22">
        <f t="shared" si="0"/>
        <v>3761</v>
      </c>
    </row>
    <row r="7" spans="1:14" x14ac:dyDescent="0.3">
      <c r="A7" s="5" t="s">
        <v>18</v>
      </c>
      <c r="B7" s="20">
        <v>338</v>
      </c>
      <c r="C7" s="20">
        <v>326</v>
      </c>
      <c r="D7" s="20">
        <v>437</v>
      </c>
      <c r="E7" s="20">
        <v>565</v>
      </c>
      <c r="F7" s="20">
        <v>501</v>
      </c>
      <c r="G7" s="20">
        <v>669</v>
      </c>
      <c r="H7" s="20">
        <v>758</v>
      </c>
      <c r="I7" s="20">
        <v>754</v>
      </c>
      <c r="J7" s="20">
        <v>662</v>
      </c>
      <c r="K7" s="20">
        <v>605</v>
      </c>
      <c r="L7" s="20">
        <v>654</v>
      </c>
      <c r="M7" s="21">
        <v>926</v>
      </c>
      <c r="N7" s="22">
        <f t="shared" si="0"/>
        <v>7195</v>
      </c>
    </row>
    <row r="8" spans="1:14" x14ac:dyDescent="0.3">
      <c r="A8" s="5" t="s">
        <v>19</v>
      </c>
      <c r="B8" s="20">
        <v>43</v>
      </c>
      <c r="C8" s="20">
        <v>51</v>
      </c>
      <c r="D8" s="20">
        <v>66</v>
      </c>
      <c r="E8" s="20">
        <v>88</v>
      </c>
      <c r="F8" s="20">
        <v>73</v>
      </c>
      <c r="G8" s="20">
        <v>72</v>
      </c>
      <c r="H8" s="20">
        <v>73</v>
      </c>
      <c r="I8" s="20">
        <v>71</v>
      </c>
      <c r="J8" s="20">
        <v>33</v>
      </c>
      <c r="K8" s="20">
        <v>58</v>
      </c>
      <c r="L8" s="20">
        <v>72</v>
      </c>
      <c r="M8" s="21">
        <v>90</v>
      </c>
      <c r="N8" s="22">
        <f t="shared" si="0"/>
        <v>790</v>
      </c>
    </row>
    <row r="9" spans="1:14" x14ac:dyDescent="0.35">
      <c r="A9" s="5" t="s">
        <v>16</v>
      </c>
      <c r="B9" s="20">
        <f t="shared" ref="B9:N9" si="2">SUM(B6:B8)</f>
        <v>610</v>
      </c>
      <c r="C9" s="20">
        <f t="shared" si="2"/>
        <v>621</v>
      </c>
      <c r="D9" s="20">
        <f t="shared" si="2"/>
        <v>842</v>
      </c>
      <c r="E9" s="20">
        <f t="shared" si="2"/>
        <v>1255</v>
      </c>
      <c r="F9" s="20">
        <f t="shared" si="2"/>
        <v>1052</v>
      </c>
      <c r="G9" s="20">
        <f t="shared" si="2"/>
        <v>1063</v>
      </c>
      <c r="H9" s="20">
        <f t="shared" si="2"/>
        <v>1013</v>
      </c>
      <c r="I9" s="20">
        <f t="shared" si="2"/>
        <v>1012</v>
      </c>
      <c r="J9" s="20">
        <f t="shared" si="2"/>
        <v>824</v>
      </c>
      <c r="K9" s="20">
        <f t="shared" si="2"/>
        <v>998</v>
      </c>
      <c r="L9" s="20">
        <f t="shared" si="2"/>
        <v>1082</v>
      </c>
      <c r="M9" s="20">
        <f t="shared" si="2"/>
        <v>1374</v>
      </c>
      <c r="N9" s="20">
        <f t="shared" si="2"/>
        <v>11746</v>
      </c>
    </row>
    <row r="10" spans="1:14" x14ac:dyDescent="0.3">
      <c r="A10" s="5" t="s">
        <v>20</v>
      </c>
      <c r="B10" s="20">
        <v>2</v>
      </c>
      <c r="C10" s="20">
        <v>5</v>
      </c>
      <c r="D10" s="20">
        <v>9</v>
      </c>
      <c r="E10" s="20">
        <v>8</v>
      </c>
      <c r="F10" s="20">
        <v>5</v>
      </c>
      <c r="G10" s="20">
        <v>9</v>
      </c>
      <c r="H10" s="20">
        <v>10</v>
      </c>
      <c r="I10" s="20">
        <v>7</v>
      </c>
      <c r="J10" s="20">
        <v>8</v>
      </c>
      <c r="K10" s="20">
        <v>10</v>
      </c>
      <c r="L10" s="23">
        <v>2</v>
      </c>
      <c r="M10" s="13">
        <v>5</v>
      </c>
      <c r="N10" s="22">
        <f t="shared" ref="N10:N18" si="3">B10+C10+D10+E10+F10+G10+H10+I10+J10+K10+L10+M10</f>
        <v>80</v>
      </c>
    </row>
    <row r="11" spans="1:14" x14ac:dyDescent="0.3">
      <c r="A11" s="5" t="s">
        <v>24</v>
      </c>
      <c r="B11" s="20">
        <v>83</v>
      </c>
      <c r="C11" s="20">
        <v>66</v>
      </c>
      <c r="D11" s="20">
        <v>93</v>
      </c>
      <c r="E11" s="20">
        <v>118</v>
      </c>
      <c r="F11" s="20">
        <v>98</v>
      </c>
      <c r="G11" s="20">
        <v>115</v>
      </c>
      <c r="H11" s="20">
        <v>98</v>
      </c>
      <c r="I11" s="20">
        <v>98</v>
      </c>
      <c r="J11" s="20">
        <v>71</v>
      </c>
      <c r="K11" s="20">
        <v>70</v>
      </c>
      <c r="L11" s="23">
        <v>56</v>
      </c>
      <c r="M11" s="24">
        <v>70</v>
      </c>
      <c r="N11" s="22">
        <f t="shared" si="3"/>
        <v>1036</v>
      </c>
    </row>
    <row r="12" spans="1:14" x14ac:dyDescent="0.3">
      <c r="A12" s="15" t="s">
        <v>29</v>
      </c>
      <c r="B12" s="5"/>
      <c r="C12" s="5"/>
      <c r="D12" s="5">
        <v>6</v>
      </c>
      <c r="E12" s="5">
        <v>3</v>
      </c>
      <c r="F12" s="5">
        <v>3</v>
      </c>
      <c r="G12" s="5">
        <v>5</v>
      </c>
      <c r="H12" s="5">
        <v>3</v>
      </c>
      <c r="I12" s="5">
        <v>1</v>
      </c>
      <c r="J12" s="5"/>
      <c r="K12" s="5"/>
      <c r="L12" s="5"/>
      <c r="M12" s="6"/>
      <c r="N12" s="19">
        <f t="shared" si="3"/>
        <v>21</v>
      </c>
    </row>
    <row r="13" spans="1:14" x14ac:dyDescent="0.3">
      <c r="A13" s="16" t="s">
        <v>30</v>
      </c>
      <c r="B13" s="20">
        <v>428</v>
      </c>
      <c r="C13" s="20">
        <v>367</v>
      </c>
      <c r="D13" s="20">
        <v>459</v>
      </c>
      <c r="E13" s="20">
        <v>514</v>
      </c>
      <c r="F13" s="20">
        <v>547</v>
      </c>
      <c r="G13" s="20">
        <v>429</v>
      </c>
      <c r="H13" s="20">
        <v>263</v>
      </c>
      <c r="I13" s="20">
        <v>99</v>
      </c>
      <c r="J13" s="20">
        <v>55</v>
      </c>
      <c r="K13" s="20">
        <v>47</v>
      </c>
      <c r="L13" s="23">
        <v>25</v>
      </c>
      <c r="M13" s="13">
        <v>17</v>
      </c>
      <c r="N13" s="22">
        <f t="shared" si="3"/>
        <v>3250</v>
      </c>
    </row>
    <row r="14" spans="1:14" x14ac:dyDescent="0.3">
      <c r="A14" s="16" t="s">
        <v>44</v>
      </c>
      <c r="B14" s="20"/>
      <c r="C14" s="20"/>
      <c r="D14" s="20">
        <v>5</v>
      </c>
      <c r="E14" s="20">
        <v>68</v>
      </c>
      <c r="F14" s="20">
        <v>82</v>
      </c>
      <c r="G14" s="20">
        <v>88</v>
      </c>
      <c r="H14" s="20">
        <v>89</v>
      </c>
      <c r="I14" s="20">
        <v>69</v>
      </c>
      <c r="J14" s="20">
        <v>93</v>
      </c>
      <c r="K14" s="20">
        <v>71</v>
      </c>
      <c r="L14" s="23">
        <v>71</v>
      </c>
      <c r="M14" s="13">
        <v>66</v>
      </c>
      <c r="N14" s="22">
        <f t="shared" si="3"/>
        <v>702</v>
      </c>
    </row>
    <row r="15" spans="1:14" x14ac:dyDescent="0.3">
      <c r="A15" s="5" t="s">
        <v>31</v>
      </c>
      <c r="B15" s="5">
        <v>2</v>
      </c>
      <c r="C15" s="5">
        <v>3</v>
      </c>
      <c r="D15" s="5"/>
      <c r="E15" s="5"/>
      <c r="F15" s="5"/>
      <c r="G15" s="5"/>
      <c r="H15" s="5"/>
      <c r="I15" s="5"/>
      <c r="J15" s="5"/>
      <c r="K15" s="5"/>
      <c r="L15" s="8"/>
      <c r="M15" s="13"/>
      <c r="N15" s="19">
        <f t="shared" si="3"/>
        <v>5</v>
      </c>
    </row>
    <row r="16" spans="1:14" x14ac:dyDescent="0.3">
      <c r="A16" s="16" t="s">
        <v>32</v>
      </c>
      <c r="B16" s="20">
        <v>100</v>
      </c>
      <c r="C16" s="20">
        <v>63</v>
      </c>
      <c r="D16" s="20">
        <v>97</v>
      </c>
      <c r="E16" s="20">
        <v>93</v>
      </c>
      <c r="F16" s="20">
        <v>122</v>
      </c>
      <c r="G16" s="20">
        <v>92</v>
      </c>
      <c r="H16" s="20">
        <v>73</v>
      </c>
      <c r="I16" s="20">
        <v>31</v>
      </c>
      <c r="J16" s="20">
        <v>50</v>
      </c>
      <c r="K16" s="20">
        <v>39</v>
      </c>
      <c r="L16" s="23">
        <v>44</v>
      </c>
      <c r="M16" s="24">
        <v>53</v>
      </c>
      <c r="N16" s="22">
        <f t="shared" si="3"/>
        <v>857</v>
      </c>
    </row>
    <row r="17" spans="1:14" x14ac:dyDescent="0.3">
      <c r="A17" s="5" t="s">
        <v>45</v>
      </c>
      <c r="B17" s="20"/>
      <c r="C17" s="20"/>
      <c r="D17" s="20"/>
      <c r="E17" s="20"/>
      <c r="F17" s="20"/>
      <c r="G17" s="20"/>
      <c r="H17" s="20">
        <v>290</v>
      </c>
      <c r="I17" s="20">
        <v>1144</v>
      </c>
      <c r="J17" s="20">
        <v>887</v>
      </c>
      <c r="K17" s="20">
        <v>999</v>
      </c>
      <c r="L17" s="23">
        <v>1047</v>
      </c>
      <c r="M17" s="24">
        <v>1231</v>
      </c>
      <c r="N17" s="22">
        <f t="shared" si="3"/>
        <v>5598</v>
      </c>
    </row>
    <row r="18" spans="1:14" x14ac:dyDescent="0.3">
      <c r="A18" s="5" t="s">
        <v>46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3">
        <v>226</v>
      </c>
      <c r="M18" s="24">
        <v>281</v>
      </c>
      <c r="N18" s="22">
        <f t="shared" si="3"/>
        <v>507</v>
      </c>
    </row>
    <row r="21" spans="1:14" ht="14.5" x14ac:dyDescent="0.35">
      <c r="G21" s="17"/>
    </row>
    <row r="22" spans="1:14" ht="14.5" x14ac:dyDescent="0.35">
      <c r="G22" s="17"/>
    </row>
    <row r="23" spans="1:14" ht="14.5" x14ac:dyDescent="0.35">
      <c r="G23" s="17"/>
    </row>
    <row r="24" spans="1:14" ht="14.5" x14ac:dyDescent="0.35">
      <c r="G24" s="17"/>
    </row>
    <row r="25" spans="1:14" ht="14.5" x14ac:dyDescent="0.35">
      <c r="G25" s="17"/>
    </row>
    <row r="26" spans="1:14" ht="14.5" x14ac:dyDescent="0.35">
      <c r="G26" s="17"/>
    </row>
    <row r="27" spans="1:14" ht="14.5" x14ac:dyDescent="0.35">
      <c r="G27" s="17"/>
    </row>
    <row r="28" spans="1:14" ht="14.5" x14ac:dyDescent="0.35">
      <c r="G28" s="17"/>
    </row>
    <row r="29" spans="1:14" ht="14.5" x14ac:dyDescent="0.35">
      <c r="G29" s="17"/>
    </row>
    <row r="30" spans="1:14" ht="14.5" x14ac:dyDescent="0.35">
      <c r="G30" s="17"/>
    </row>
    <row r="31" spans="1:14" ht="14.5" x14ac:dyDescent="0.35">
      <c r="G31" s="17"/>
    </row>
    <row r="32" spans="1:14" ht="13" x14ac:dyDescent="0.3">
      <c r="G32" s="18"/>
    </row>
  </sheetData>
  <phoneticPr fontId="5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42852-832B-4BD5-B6C3-A51863564F6A}">
  <sheetPr>
    <pageSetUpPr fitToPage="1"/>
  </sheetPr>
  <dimension ref="A1:N32"/>
  <sheetViews>
    <sheetView zoomScaleNormal="100" workbookViewId="0">
      <pane xSplit="1" ySplit="1" topLeftCell="B2" activePane="bottomRight" state="frozen"/>
      <selection pane="topRight" activeCell="C1" sqref="C1"/>
      <selection pane="bottomLeft" activeCell="A4" sqref="A4"/>
      <selection pane="bottomRight" activeCell="N2" sqref="N2:N18"/>
    </sheetView>
  </sheetViews>
  <sheetFormatPr defaultColWidth="9" defaultRowHeight="12" x14ac:dyDescent="0.35"/>
  <cols>
    <col min="1" max="1" width="15.453125" style="12" bestFit="1" customWidth="1"/>
    <col min="2" max="13" width="9.7265625" style="12" customWidth="1"/>
    <col min="14" max="16384" width="9" style="12"/>
  </cols>
  <sheetData>
    <row r="1" spans="1:14" x14ac:dyDescent="0.3">
      <c r="A1" s="15"/>
      <c r="B1" s="2" t="s">
        <v>0</v>
      </c>
      <c r="C1" s="10" t="s">
        <v>1</v>
      </c>
      <c r="D1" s="11" t="s">
        <v>2</v>
      </c>
      <c r="E1" s="10" t="s">
        <v>3</v>
      </c>
      <c r="F1" s="2" t="s">
        <v>34</v>
      </c>
      <c r="G1" s="10" t="s">
        <v>35</v>
      </c>
      <c r="H1" s="11" t="s">
        <v>36</v>
      </c>
      <c r="I1" s="10" t="s">
        <v>37</v>
      </c>
      <c r="J1" s="2" t="s">
        <v>38</v>
      </c>
      <c r="K1" s="10" t="s">
        <v>39</v>
      </c>
      <c r="L1" s="11" t="s">
        <v>40</v>
      </c>
      <c r="M1" s="10" t="s">
        <v>41</v>
      </c>
      <c r="N1" s="8" t="s">
        <v>12</v>
      </c>
    </row>
    <row r="2" spans="1:14" x14ac:dyDescent="0.3">
      <c r="A2" s="5" t="s">
        <v>13</v>
      </c>
      <c r="B2" s="5">
        <v>228</v>
      </c>
      <c r="C2" s="5">
        <v>262</v>
      </c>
      <c r="D2" s="5">
        <v>387</v>
      </c>
      <c r="E2" s="5">
        <v>408</v>
      </c>
      <c r="F2" s="5">
        <v>152</v>
      </c>
      <c r="G2" s="5">
        <v>52</v>
      </c>
      <c r="H2" s="5">
        <v>11</v>
      </c>
      <c r="I2" s="5">
        <v>1</v>
      </c>
      <c r="J2" s="5">
        <v>1</v>
      </c>
      <c r="K2" s="5">
        <v>2</v>
      </c>
      <c r="L2" s="8"/>
      <c r="M2" s="13">
        <v>1</v>
      </c>
      <c r="N2" s="14">
        <f t="shared" ref="N2:N10" si="0">B2+C2+D2+E2+F2+G2+H2+I2+J2+K2+L2+M2</f>
        <v>1505</v>
      </c>
    </row>
    <row r="3" spans="1:14" x14ac:dyDescent="0.3">
      <c r="A3" s="5" t="s">
        <v>14</v>
      </c>
      <c r="B3" s="5">
        <v>258</v>
      </c>
      <c r="C3" s="5">
        <v>305</v>
      </c>
      <c r="D3" s="5">
        <v>346</v>
      </c>
      <c r="E3" s="5">
        <v>376</v>
      </c>
      <c r="F3" s="5">
        <v>158</v>
      </c>
      <c r="G3" s="5">
        <v>68</v>
      </c>
      <c r="H3" s="5">
        <v>25</v>
      </c>
      <c r="I3" s="5">
        <v>9</v>
      </c>
      <c r="J3" s="5">
        <v>6</v>
      </c>
      <c r="K3" s="5">
        <v>3</v>
      </c>
      <c r="L3" s="8">
        <v>3</v>
      </c>
      <c r="M3" s="13"/>
      <c r="N3" s="14">
        <f t="shared" si="0"/>
        <v>1557</v>
      </c>
    </row>
    <row r="4" spans="1:14" x14ac:dyDescent="0.3">
      <c r="A4" s="5" t="s">
        <v>15</v>
      </c>
      <c r="B4" s="5">
        <v>37</v>
      </c>
      <c r="C4" s="5">
        <v>51</v>
      </c>
      <c r="D4" s="5">
        <v>55</v>
      </c>
      <c r="E4" s="5">
        <v>30</v>
      </c>
      <c r="F4" s="5">
        <v>12</v>
      </c>
      <c r="G4" s="5">
        <v>6</v>
      </c>
      <c r="H4" s="5">
        <v>2</v>
      </c>
      <c r="I4" s="5">
        <v>1</v>
      </c>
      <c r="J4" s="5"/>
      <c r="K4" s="5">
        <v>1</v>
      </c>
      <c r="L4" s="8"/>
      <c r="M4" s="13"/>
      <c r="N4" s="14">
        <f t="shared" si="0"/>
        <v>195</v>
      </c>
    </row>
    <row r="5" spans="1:14" x14ac:dyDescent="0.3">
      <c r="A5" s="5" t="s">
        <v>16</v>
      </c>
      <c r="B5" s="5">
        <f t="shared" ref="B5:M5" si="1">SUM(B2:B4)</f>
        <v>523</v>
      </c>
      <c r="C5" s="5">
        <f t="shared" si="1"/>
        <v>618</v>
      </c>
      <c r="D5" s="5">
        <f t="shared" si="1"/>
        <v>788</v>
      </c>
      <c r="E5" s="5">
        <f t="shared" si="1"/>
        <v>814</v>
      </c>
      <c r="F5" s="5">
        <f>SUM(F2:F4)</f>
        <v>322</v>
      </c>
      <c r="G5" s="5">
        <f>SUM(G2:G4)</f>
        <v>126</v>
      </c>
      <c r="H5" s="5">
        <f>SUM(H2:H4)</f>
        <v>38</v>
      </c>
      <c r="I5" s="5">
        <f t="shared" si="1"/>
        <v>11</v>
      </c>
      <c r="J5" s="5">
        <f t="shared" si="1"/>
        <v>7</v>
      </c>
      <c r="K5" s="5">
        <f t="shared" si="1"/>
        <v>6</v>
      </c>
      <c r="L5" s="5">
        <f t="shared" si="1"/>
        <v>3</v>
      </c>
      <c r="M5" s="5">
        <f t="shared" si="1"/>
        <v>1</v>
      </c>
      <c r="N5" s="14">
        <f t="shared" si="0"/>
        <v>3257</v>
      </c>
    </row>
    <row r="6" spans="1:14" x14ac:dyDescent="0.3">
      <c r="A6" s="5" t="s">
        <v>17</v>
      </c>
      <c r="B6" s="5"/>
      <c r="C6" s="5"/>
      <c r="D6" s="5"/>
      <c r="E6" s="5"/>
      <c r="F6" s="5">
        <v>62</v>
      </c>
      <c r="G6" s="5">
        <v>175</v>
      </c>
      <c r="H6" s="5">
        <v>449</v>
      </c>
      <c r="I6" s="5">
        <v>344</v>
      </c>
      <c r="J6" s="5">
        <v>382</v>
      </c>
      <c r="K6" s="5">
        <v>176</v>
      </c>
      <c r="L6" s="5">
        <v>260</v>
      </c>
      <c r="M6" s="6">
        <v>305</v>
      </c>
      <c r="N6" s="14">
        <f t="shared" si="0"/>
        <v>2153</v>
      </c>
    </row>
    <row r="7" spans="1:14" x14ac:dyDescent="0.3">
      <c r="A7" s="5" t="s">
        <v>18</v>
      </c>
      <c r="B7" s="5"/>
      <c r="C7" s="5"/>
      <c r="D7" s="5"/>
      <c r="E7" s="5"/>
      <c r="F7" s="5">
        <v>77</v>
      </c>
      <c r="G7" s="5">
        <v>291</v>
      </c>
      <c r="H7" s="5">
        <v>582</v>
      </c>
      <c r="I7" s="5">
        <v>607</v>
      </c>
      <c r="J7" s="5">
        <v>750</v>
      </c>
      <c r="K7" s="5">
        <v>551</v>
      </c>
      <c r="L7" s="5">
        <v>514</v>
      </c>
      <c r="M7" s="6">
        <v>570</v>
      </c>
      <c r="N7" s="14">
        <f t="shared" si="0"/>
        <v>3942</v>
      </c>
    </row>
    <row r="8" spans="1:14" x14ac:dyDescent="0.3">
      <c r="A8" s="5" t="s">
        <v>19</v>
      </c>
      <c r="B8" s="5"/>
      <c r="C8" s="5"/>
      <c r="D8" s="5"/>
      <c r="E8" s="5"/>
      <c r="F8" s="5"/>
      <c r="G8" s="5">
        <v>10</v>
      </c>
      <c r="H8" s="5">
        <v>63</v>
      </c>
      <c r="I8" s="5">
        <v>81</v>
      </c>
      <c r="J8" s="5">
        <v>81</v>
      </c>
      <c r="K8" s="5">
        <v>51</v>
      </c>
      <c r="L8" s="5">
        <v>58</v>
      </c>
      <c r="M8" s="6">
        <v>66</v>
      </c>
      <c r="N8" s="14">
        <f t="shared" si="0"/>
        <v>410</v>
      </c>
    </row>
    <row r="9" spans="1:14" x14ac:dyDescent="0.3">
      <c r="A9" s="5" t="s">
        <v>16</v>
      </c>
      <c r="B9" s="5"/>
      <c r="C9" s="5"/>
      <c r="D9" s="5"/>
      <c r="E9" s="5"/>
      <c r="F9" s="5">
        <f>SUM(F6:F8)</f>
        <v>139</v>
      </c>
      <c r="G9" s="5">
        <f>SUM(G6:G8)</f>
        <v>476</v>
      </c>
      <c r="H9" s="5">
        <f t="shared" ref="H9:M9" si="2">SUM(H6:H8)</f>
        <v>1094</v>
      </c>
      <c r="I9" s="5">
        <f t="shared" si="2"/>
        <v>1032</v>
      </c>
      <c r="J9" s="5">
        <f t="shared" si="2"/>
        <v>1213</v>
      </c>
      <c r="K9" s="5">
        <f t="shared" si="2"/>
        <v>778</v>
      </c>
      <c r="L9" s="5">
        <f t="shared" si="2"/>
        <v>832</v>
      </c>
      <c r="M9" s="5">
        <f t="shared" si="2"/>
        <v>941</v>
      </c>
      <c r="N9" s="14">
        <f t="shared" si="0"/>
        <v>6505</v>
      </c>
    </row>
    <row r="10" spans="1:14" x14ac:dyDescent="0.3">
      <c r="A10" s="5" t="s">
        <v>20</v>
      </c>
      <c r="B10" s="5"/>
      <c r="C10" s="5"/>
      <c r="D10" s="5">
        <v>1</v>
      </c>
      <c r="E10" s="5">
        <v>3</v>
      </c>
      <c r="F10" s="5">
        <v>4</v>
      </c>
      <c r="G10" s="5">
        <v>6</v>
      </c>
      <c r="H10" s="5">
        <v>1</v>
      </c>
      <c r="I10" s="5">
        <v>0</v>
      </c>
      <c r="J10" s="5">
        <v>3</v>
      </c>
      <c r="K10" s="5">
        <v>1</v>
      </c>
      <c r="L10" s="8">
        <v>6</v>
      </c>
      <c r="M10" s="13">
        <v>7</v>
      </c>
      <c r="N10" s="14">
        <f t="shared" si="0"/>
        <v>32</v>
      </c>
    </row>
    <row r="11" spans="1:14" x14ac:dyDescent="0.3">
      <c r="A11" s="5" t="s">
        <v>22</v>
      </c>
      <c r="B11" s="5">
        <v>1</v>
      </c>
      <c r="C11" s="5">
        <v>1</v>
      </c>
      <c r="D11" s="5"/>
      <c r="E11" s="5">
        <v>1</v>
      </c>
      <c r="F11" s="5"/>
      <c r="G11" s="5"/>
      <c r="H11" s="5"/>
      <c r="I11" s="5"/>
      <c r="J11" s="5"/>
      <c r="K11" s="5"/>
      <c r="L11" s="5"/>
      <c r="M11" s="5"/>
      <c r="N11" s="8">
        <f>M11+B11+C11+D11+E11+F11+G11+H11+I11+J11+K11+L11</f>
        <v>3</v>
      </c>
    </row>
    <row r="12" spans="1:14" x14ac:dyDescent="0.3">
      <c r="A12" s="5" t="s">
        <v>23</v>
      </c>
      <c r="B12" s="5"/>
      <c r="C12" s="5"/>
      <c r="D12" s="5"/>
      <c r="E12" s="5">
        <v>1</v>
      </c>
      <c r="F12" s="5"/>
      <c r="G12" s="5"/>
      <c r="H12" s="5"/>
      <c r="I12" s="5"/>
      <c r="J12" s="5"/>
      <c r="K12" s="5"/>
      <c r="L12" s="5"/>
      <c r="M12" s="5"/>
      <c r="N12" s="8">
        <f>M12+B12+C12+D12+E12+F12+G12+H12+I12+J12+K12+L12</f>
        <v>1</v>
      </c>
    </row>
    <row r="13" spans="1:14" x14ac:dyDescent="0.3">
      <c r="A13" s="5" t="s">
        <v>24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8"/>
      <c r="M13" s="13">
        <v>115</v>
      </c>
      <c r="N13" s="14">
        <f>B13+C13+D13+E13+F13+G13+H13+I13+J13+K13+L13+M13</f>
        <v>115</v>
      </c>
    </row>
    <row r="14" spans="1:14" x14ac:dyDescent="0.3">
      <c r="A14" s="5" t="s">
        <v>25</v>
      </c>
      <c r="B14" s="5">
        <v>1</v>
      </c>
      <c r="C14" s="5"/>
      <c r="D14" s="5"/>
      <c r="E14" s="5">
        <v>1</v>
      </c>
      <c r="F14" s="5"/>
      <c r="G14" s="5"/>
      <c r="H14" s="5"/>
      <c r="I14" s="5"/>
      <c r="J14" s="5"/>
      <c r="K14" s="5"/>
      <c r="L14" s="5"/>
      <c r="M14" s="5"/>
      <c r="N14" s="8">
        <f>M14+B14+C14+D14+E14+F14+G14+H14+I14+J14+K14+L14</f>
        <v>2</v>
      </c>
    </row>
    <row r="15" spans="1:14" x14ac:dyDescent="0.3">
      <c r="A15" s="8" t="s">
        <v>27</v>
      </c>
      <c r="B15" s="5">
        <v>6</v>
      </c>
      <c r="C15" s="5">
        <v>2</v>
      </c>
      <c r="D15" s="5">
        <v>2</v>
      </c>
      <c r="E15" s="5"/>
      <c r="F15" s="5">
        <v>26</v>
      </c>
      <c r="G15" s="5">
        <v>1</v>
      </c>
      <c r="H15" s="5">
        <v>7</v>
      </c>
      <c r="I15" s="5">
        <v>1</v>
      </c>
      <c r="J15" s="5">
        <v>2</v>
      </c>
      <c r="K15" s="5">
        <v>1</v>
      </c>
      <c r="L15" s="5">
        <v>1</v>
      </c>
      <c r="M15" s="6">
        <v>2</v>
      </c>
      <c r="N15" s="14">
        <f>B15+C15+D15+E15+F15+G15+H15+I15+J15+K15+L15+M15</f>
        <v>51</v>
      </c>
    </row>
    <row r="16" spans="1:14" x14ac:dyDescent="0.3">
      <c r="A16" s="15" t="s">
        <v>29</v>
      </c>
      <c r="B16" s="5">
        <v>205</v>
      </c>
      <c r="C16" s="5">
        <v>282</v>
      </c>
      <c r="D16" s="5">
        <v>328</v>
      </c>
      <c r="E16" s="5">
        <v>239</v>
      </c>
      <c r="F16" s="5">
        <v>156</v>
      </c>
      <c r="G16" s="5">
        <v>144</v>
      </c>
      <c r="H16" s="5">
        <v>85</v>
      </c>
      <c r="I16" s="5">
        <v>28</v>
      </c>
      <c r="J16" s="5">
        <v>15</v>
      </c>
      <c r="K16" s="5">
        <v>3</v>
      </c>
      <c r="L16" s="5">
        <v>20</v>
      </c>
      <c r="M16" s="6">
        <v>10</v>
      </c>
      <c r="N16" s="14">
        <f>B16+C16+D16+E16+F16+G16+H16+I16+J16+K16+L16+M16</f>
        <v>1515</v>
      </c>
    </row>
    <row r="17" spans="1:14" x14ac:dyDescent="0.3">
      <c r="A17" s="16" t="s">
        <v>30</v>
      </c>
      <c r="B17" s="5"/>
      <c r="C17" s="5"/>
      <c r="D17" s="5">
        <v>70</v>
      </c>
      <c r="E17" s="5">
        <v>341</v>
      </c>
      <c r="F17" s="5">
        <v>315</v>
      </c>
      <c r="G17" s="5">
        <v>219</v>
      </c>
      <c r="H17" s="5">
        <v>112</v>
      </c>
      <c r="I17" s="5">
        <v>314</v>
      </c>
      <c r="J17" s="5">
        <v>867</v>
      </c>
      <c r="K17" s="5">
        <v>589</v>
      </c>
      <c r="L17" s="8">
        <v>551</v>
      </c>
      <c r="M17" s="13">
        <v>587</v>
      </c>
      <c r="N17" s="14">
        <f>B17+C17+D17+E17+F17+G17+H17+I17+J17+K17+L17+M17</f>
        <v>3965</v>
      </c>
    </row>
    <row r="18" spans="1:14" x14ac:dyDescent="0.3">
      <c r="A18" s="16" t="s">
        <v>32</v>
      </c>
      <c r="B18" s="5">
        <v>67</v>
      </c>
      <c r="C18" s="5">
        <v>119</v>
      </c>
      <c r="D18" s="5">
        <v>135</v>
      </c>
      <c r="E18" s="5">
        <v>144</v>
      </c>
      <c r="F18" s="5">
        <v>150</v>
      </c>
      <c r="G18" s="5">
        <v>108</v>
      </c>
      <c r="H18" s="5">
        <v>167</v>
      </c>
      <c r="I18" s="5">
        <v>129</v>
      </c>
      <c r="J18" s="5">
        <v>164</v>
      </c>
      <c r="K18" s="5">
        <v>130</v>
      </c>
      <c r="L18" s="8">
        <v>95</v>
      </c>
      <c r="M18" s="13">
        <v>151</v>
      </c>
      <c r="N18" s="14">
        <f>B18+C18+D18+E18+F18+G18+H18+I18+J18+K18+L18+M18</f>
        <v>1559</v>
      </c>
    </row>
    <row r="21" spans="1:14" ht="14.5" x14ac:dyDescent="0.35">
      <c r="G21" s="17"/>
    </row>
    <row r="22" spans="1:14" ht="14.5" x14ac:dyDescent="0.35">
      <c r="G22" s="17"/>
    </row>
    <row r="23" spans="1:14" ht="14.5" x14ac:dyDescent="0.35">
      <c r="G23" s="17"/>
    </row>
    <row r="24" spans="1:14" ht="14.5" x14ac:dyDescent="0.35">
      <c r="G24" s="17"/>
    </row>
    <row r="25" spans="1:14" ht="14.5" x14ac:dyDescent="0.35">
      <c r="G25" s="17"/>
    </row>
    <row r="26" spans="1:14" ht="14.5" x14ac:dyDescent="0.35">
      <c r="G26" s="17"/>
    </row>
    <row r="27" spans="1:14" ht="14.5" x14ac:dyDescent="0.35">
      <c r="G27" s="17"/>
    </row>
    <row r="28" spans="1:14" ht="14.5" x14ac:dyDescent="0.35">
      <c r="G28" s="17"/>
    </row>
    <row r="29" spans="1:14" ht="14.5" x14ac:dyDescent="0.35">
      <c r="G29" s="17"/>
    </row>
    <row r="30" spans="1:14" ht="14.5" x14ac:dyDescent="0.35">
      <c r="G30" s="17"/>
    </row>
    <row r="31" spans="1:14" ht="14.5" x14ac:dyDescent="0.35">
      <c r="G31" s="17"/>
    </row>
    <row r="32" spans="1:14" ht="13" x14ac:dyDescent="0.3">
      <c r="G32" s="18"/>
    </row>
  </sheetData>
  <phoneticPr fontId="5" type="noConversion"/>
  <pageMargins left="0.70866141732283472" right="0.70866141732283472" top="1.5354330708661419" bottom="0.74803149606299213" header="0.51181102362204722" footer="0.31496062992125984"/>
  <pageSetup paperSize="9" scale="83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78F52-98A6-4327-BE45-56E3C77FE757}">
  <sheetPr>
    <pageSetUpPr fitToPage="1"/>
  </sheetPr>
  <dimension ref="A1:N14"/>
  <sheetViews>
    <sheetView zoomScaleNormal="100" workbookViewId="0">
      <pane xSplit="1" ySplit="1" topLeftCell="B2" activePane="bottomRight" state="frozen"/>
      <selection pane="topRight" activeCell="C1" sqref="C1"/>
      <selection pane="bottomLeft" activeCell="A4" sqref="A4"/>
      <selection pane="bottomRight" activeCell="N2" sqref="N2:N14"/>
    </sheetView>
  </sheetViews>
  <sheetFormatPr defaultColWidth="9" defaultRowHeight="12" x14ac:dyDescent="0.35"/>
  <cols>
    <col min="1" max="1" width="13.26953125" style="12" bestFit="1" customWidth="1"/>
    <col min="2" max="14" width="9.7265625" style="12" customWidth="1"/>
    <col min="15" max="16384" width="9" style="12"/>
  </cols>
  <sheetData>
    <row r="1" spans="1:14" ht="15" customHeight="1" x14ac:dyDescent="0.3">
      <c r="A1" s="1"/>
      <c r="B1" s="2" t="s">
        <v>0</v>
      </c>
      <c r="C1" s="10" t="s">
        <v>1</v>
      </c>
      <c r="D1" s="11" t="s">
        <v>2</v>
      </c>
      <c r="E1" s="10" t="s">
        <v>3</v>
      </c>
      <c r="F1" s="11" t="s">
        <v>4</v>
      </c>
      <c r="G1" s="10" t="s">
        <v>5</v>
      </c>
      <c r="H1" s="11" t="s">
        <v>6</v>
      </c>
      <c r="I1" s="10" t="s">
        <v>7</v>
      </c>
      <c r="J1" s="11" t="s">
        <v>8</v>
      </c>
      <c r="K1" s="10" t="s">
        <v>9</v>
      </c>
      <c r="L1" s="11" t="s">
        <v>10</v>
      </c>
      <c r="M1" s="10" t="s">
        <v>11</v>
      </c>
      <c r="N1" s="8" t="s">
        <v>43</v>
      </c>
    </row>
    <row r="2" spans="1:14" x14ac:dyDescent="0.3">
      <c r="A2" s="5" t="s">
        <v>42</v>
      </c>
      <c r="B2" s="5"/>
      <c r="C2" s="5"/>
      <c r="D2" s="5"/>
      <c r="E2" s="5"/>
      <c r="F2" s="5"/>
      <c r="G2" s="5"/>
      <c r="H2" s="5"/>
      <c r="I2" s="5">
        <v>1</v>
      </c>
      <c r="J2" s="5"/>
      <c r="K2" s="5"/>
      <c r="L2" s="5"/>
      <c r="M2" s="6"/>
      <c r="N2" s="8">
        <f>B2+C2+D2+E2+F2+G2+H2+I2+J2+K2+L2+M2</f>
        <v>1</v>
      </c>
    </row>
    <row r="3" spans="1:14" x14ac:dyDescent="0.3">
      <c r="A3" s="5" t="s">
        <v>13</v>
      </c>
      <c r="B3" s="5">
        <v>140</v>
      </c>
      <c r="C3" s="5">
        <v>122</v>
      </c>
      <c r="D3" s="5">
        <v>122</v>
      </c>
      <c r="E3" s="5">
        <v>150</v>
      </c>
      <c r="F3" s="5">
        <v>172</v>
      </c>
      <c r="G3" s="5">
        <v>201</v>
      </c>
      <c r="H3" s="5">
        <v>241</v>
      </c>
      <c r="I3" s="5">
        <v>241</v>
      </c>
      <c r="J3" s="5">
        <v>282</v>
      </c>
      <c r="K3" s="5">
        <v>214</v>
      </c>
      <c r="L3" s="8">
        <v>189</v>
      </c>
      <c r="M3" s="8">
        <v>239</v>
      </c>
      <c r="N3" s="8">
        <f>B3+C3+D3+E3+F3+G3+H3+I3+J3+K3+L3+M3</f>
        <v>2313</v>
      </c>
    </row>
    <row r="4" spans="1:14" x14ac:dyDescent="0.3">
      <c r="A4" s="5" t="s">
        <v>14</v>
      </c>
      <c r="B4" s="5">
        <v>149</v>
      </c>
      <c r="C4" s="5">
        <v>166</v>
      </c>
      <c r="D4" s="5">
        <v>196</v>
      </c>
      <c r="E4" s="5">
        <v>181</v>
      </c>
      <c r="F4" s="5">
        <v>205</v>
      </c>
      <c r="G4" s="5">
        <v>187</v>
      </c>
      <c r="H4" s="5">
        <v>261</v>
      </c>
      <c r="I4" s="5">
        <v>258</v>
      </c>
      <c r="J4" s="5">
        <v>237</v>
      </c>
      <c r="K4" s="5">
        <v>272</v>
      </c>
      <c r="L4" s="8">
        <v>208</v>
      </c>
      <c r="M4" s="8">
        <v>249</v>
      </c>
      <c r="N4" s="8">
        <f>B4+C4+D4+E4+F4+G4+H4+I4+J4+K4+L4+M4</f>
        <v>2569</v>
      </c>
    </row>
    <row r="5" spans="1:14" x14ac:dyDescent="0.3">
      <c r="A5" s="5" t="s">
        <v>15</v>
      </c>
      <c r="B5" s="5">
        <v>21</v>
      </c>
      <c r="C5" s="5">
        <v>18</v>
      </c>
      <c r="D5" s="5">
        <v>30</v>
      </c>
      <c r="E5" s="5">
        <v>26</v>
      </c>
      <c r="F5" s="5">
        <v>29</v>
      </c>
      <c r="G5" s="5">
        <v>29</v>
      </c>
      <c r="H5" s="5">
        <v>15</v>
      </c>
      <c r="I5" s="5">
        <v>21</v>
      </c>
      <c r="J5" s="5">
        <v>22</v>
      </c>
      <c r="K5" s="5">
        <v>35</v>
      </c>
      <c r="L5" s="8">
        <v>34</v>
      </c>
      <c r="M5" s="8">
        <v>33</v>
      </c>
      <c r="N5" s="8">
        <f>B5+C5+D5+E5+F5+G5+H5+I5+J5+K5+L5+M5</f>
        <v>313</v>
      </c>
    </row>
    <row r="6" spans="1:14" x14ac:dyDescent="0.35">
      <c r="A6" s="5" t="s">
        <v>16</v>
      </c>
      <c r="B6" s="5">
        <f>SUM(B3:B5)</f>
        <v>310</v>
      </c>
      <c r="C6" s="5">
        <f t="shared" ref="C6:N6" si="0">SUM(C3:C5)</f>
        <v>306</v>
      </c>
      <c r="D6" s="5">
        <f t="shared" si="0"/>
        <v>348</v>
      </c>
      <c r="E6" s="5">
        <f t="shared" si="0"/>
        <v>357</v>
      </c>
      <c r="F6" s="5">
        <f t="shared" si="0"/>
        <v>406</v>
      </c>
      <c r="G6" s="5">
        <f t="shared" si="0"/>
        <v>417</v>
      </c>
      <c r="H6" s="5">
        <f t="shared" si="0"/>
        <v>517</v>
      </c>
      <c r="I6" s="5">
        <f t="shared" si="0"/>
        <v>520</v>
      </c>
      <c r="J6" s="5">
        <f t="shared" si="0"/>
        <v>541</v>
      </c>
      <c r="K6" s="5">
        <f t="shared" si="0"/>
        <v>521</v>
      </c>
      <c r="L6" s="5">
        <f t="shared" si="0"/>
        <v>431</v>
      </c>
      <c r="M6" s="5">
        <f t="shared" si="0"/>
        <v>521</v>
      </c>
      <c r="N6" s="5">
        <f t="shared" si="0"/>
        <v>5195</v>
      </c>
    </row>
    <row r="7" spans="1:14" x14ac:dyDescent="0.3">
      <c r="A7" s="5" t="s">
        <v>20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2</v>
      </c>
      <c r="J7" s="5">
        <v>1</v>
      </c>
      <c r="K7" s="5">
        <v>2</v>
      </c>
      <c r="L7" s="5">
        <v>0</v>
      </c>
      <c r="M7" s="5">
        <v>0</v>
      </c>
      <c r="N7" s="8">
        <f>B7+C7+D7+E7+F7+G7+H7+I7+J7+K7+L7+M7</f>
        <v>5</v>
      </c>
    </row>
    <row r="8" spans="1:14" x14ac:dyDescent="0.3">
      <c r="A8" s="5" t="s">
        <v>22</v>
      </c>
      <c r="B8" s="5">
        <v>16</v>
      </c>
      <c r="C8" s="5">
        <v>43</v>
      </c>
      <c r="D8" s="5">
        <v>42</v>
      </c>
      <c r="E8" s="5">
        <v>53</v>
      </c>
      <c r="F8" s="5">
        <v>32</v>
      </c>
      <c r="G8" s="5">
        <v>33</v>
      </c>
      <c r="H8" s="5">
        <v>25</v>
      </c>
      <c r="I8" s="5">
        <v>25</v>
      </c>
      <c r="J8" s="5">
        <v>27</v>
      </c>
      <c r="K8" s="5">
        <v>15</v>
      </c>
      <c r="L8" s="5">
        <v>8</v>
      </c>
      <c r="M8" s="5">
        <v>3</v>
      </c>
      <c r="N8" s="8">
        <f>M8+B8+C8+D8+E8+F8+G8+H8+I8+J8+K8+L8</f>
        <v>322</v>
      </c>
    </row>
    <row r="9" spans="1:14" x14ac:dyDescent="0.3">
      <c r="A9" s="5" t="s">
        <v>23</v>
      </c>
      <c r="B9" s="5">
        <v>24</v>
      </c>
      <c r="C9" s="5">
        <v>32</v>
      </c>
      <c r="D9" s="5">
        <v>19</v>
      </c>
      <c r="E9" s="5">
        <v>8</v>
      </c>
      <c r="F9" s="5">
        <v>4</v>
      </c>
      <c r="G9" s="5">
        <v>3</v>
      </c>
      <c r="H9" s="5">
        <v>10</v>
      </c>
      <c r="I9" s="5">
        <v>1</v>
      </c>
      <c r="J9" s="5">
        <v>3</v>
      </c>
      <c r="K9" s="5">
        <v>1</v>
      </c>
      <c r="L9" s="5"/>
      <c r="M9" s="5"/>
      <c r="N9" s="8">
        <f>M9+B9+C9+D9+E9+F9+G9+H9+I9+J9+K9+L9</f>
        <v>105</v>
      </c>
    </row>
    <row r="10" spans="1:14" x14ac:dyDescent="0.3">
      <c r="A10" s="5" t="s">
        <v>25</v>
      </c>
      <c r="B10" s="5"/>
      <c r="C10" s="5"/>
      <c r="D10" s="5">
        <v>2</v>
      </c>
      <c r="E10" s="5"/>
      <c r="F10" s="5">
        <v>1</v>
      </c>
      <c r="G10" s="5">
        <v>1</v>
      </c>
      <c r="H10" s="5"/>
      <c r="I10" s="5">
        <v>1</v>
      </c>
      <c r="J10" s="5"/>
      <c r="K10" s="5"/>
      <c r="L10" s="5"/>
      <c r="M10" s="5"/>
      <c r="N10" s="8">
        <f>M10+B10+C10+D10+E10+F10+G10+H10+I10+J10+K10+L10</f>
        <v>5</v>
      </c>
    </row>
    <row r="11" spans="1:14" x14ac:dyDescent="0.3">
      <c r="A11" s="5" t="s">
        <v>26</v>
      </c>
      <c r="B11" s="5"/>
      <c r="C11" s="5"/>
      <c r="D11" s="5"/>
      <c r="E11" s="5"/>
      <c r="F11" s="5"/>
      <c r="G11" s="5"/>
      <c r="H11" s="5"/>
      <c r="I11" s="5">
        <v>2</v>
      </c>
      <c r="J11" s="5">
        <v>1</v>
      </c>
      <c r="K11" s="5"/>
      <c r="L11" s="5"/>
      <c r="M11" s="5"/>
      <c r="N11" s="8">
        <f>M11+B11+C11+D11+E11+F11+G11+H11+I11+J11+K11+L11</f>
        <v>3</v>
      </c>
    </row>
    <row r="12" spans="1:14" x14ac:dyDescent="0.3">
      <c r="A12" s="8" t="s">
        <v>27</v>
      </c>
      <c r="B12" s="5">
        <v>0</v>
      </c>
      <c r="C12" s="5"/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3</v>
      </c>
      <c r="N12" s="8">
        <f>B12+C12+D12+E12+F12+G12+H12+I12+J12+K12+L12+M12</f>
        <v>3</v>
      </c>
    </row>
    <row r="13" spans="1:14" x14ac:dyDescent="0.3">
      <c r="A13" s="5" t="s">
        <v>29</v>
      </c>
      <c r="B13" s="5">
        <v>259</v>
      </c>
      <c r="C13" s="5">
        <v>277</v>
      </c>
      <c r="D13" s="5">
        <v>330</v>
      </c>
      <c r="E13" s="5">
        <v>291</v>
      </c>
      <c r="F13" s="5">
        <v>284</v>
      </c>
      <c r="G13" s="5">
        <v>252</v>
      </c>
      <c r="H13" s="5">
        <v>225</v>
      </c>
      <c r="I13" s="5">
        <v>242</v>
      </c>
      <c r="J13" s="5">
        <v>271</v>
      </c>
      <c r="K13" s="5">
        <v>312</v>
      </c>
      <c r="L13" s="5">
        <v>269</v>
      </c>
      <c r="M13" s="5">
        <v>279</v>
      </c>
      <c r="N13" s="8">
        <f>B13+C13+D13+E13+F13+G13+H13+I13+J13+K13+L13+M13</f>
        <v>3291</v>
      </c>
    </row>
    <row r="14" spans="1:14" x14ac:dyDescent="0.3">
      <c r="A14" s="5" t="s">
        <v>32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8"/>
      <c r="M14" s="8">
        <v>55</v>
      </c>
      <c r="N14" s="8">
        <f>B14+C14+D14+E14+F14+G14+H14+I14+J14+K14+L14+M14</f>
        <v>55</v>
      </c>
    </row>
  </sheetData>
  <phoneticPr fontId="5" type="noConversion"/>
  <pageMargins left="0.70866141732283472" right="0.70866141732283472" top="1.5354330708661419" bottom="0.74803149606299213" header="0.51181102362204722" footer="0.31496062992125984"/>
  <pageSetup paperSize="9" scale="83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2311D-2D55-469C-8C99-4FBB37DB8520}">
  <sheetPr>
    <pageSetUpPr fitToPage="1"/>
  </sheetPr>
  <dimension ref="A1:N12"/>
  <sheetViews>
    <sheetView zoomScaleNormal="100" workbookViewId="0">
      <pane xSplit="1" ySplit="1" topLeftCell="B2" activePane="bottomRight" state="frozen"/>
      <selection pane="topRight" activeCell="C1" sqref="C1"/>
      <selection pane="bottomLeft" activeCell="A4" sqref="A4"/>
      <selection pane="bottomRight" activeCell="N2" sqref="N2:N12"/>
    </sheetView>
  </sheetViews>
  <sheetFormatPr defaultColWidth="9" defaultRowHeight="12" x14ac:dyDescent="0.35"/>
  <cols>
    <col min="1" max="1" width="13.26953125" style="4" bestFit="1" customWidth="1"/>
    <col min="2" max="14" width="9.7265625" style="4" customWidth="1"/>
    <col min="15" max="16384" width="9" style="4"/>
  </cols>
  <sheetData>
    <row r="1" spans="1:14" x14ac:dyDescent="0.3">
      <c r="A1" s="1"/>
      <c r="B1" s="2" t="s">
        <v>33</v>
      </c>
      <c r="C1" s="10" t="s">
        <v>1</v>
      </c>
      <c r="D1" s="2" t="s">
        <v>2</v>
      </c>
      <c r="E1" s="10" t="s">
        <v>3</v>
      </c>
      <c r="F1" s="2" t="s">
        <v>34</v>
      </c>
      <c r="G1" s="10" t="s">
        <v>35</v>
      </c>
      <c r="H1" s="2" t="s">
        <v>36</v>
      </c>
      <c r="I1" s="10" t="s">
        <v>37</v>
      </c>
      <c r="J1" s="2" t="s">
        <v>38</v>
      </c>
      <c r="K1" s="10" t="s">
        <v>39</v>
      </c>
      <c r="L1" s="2" t="s">
        <v>40</v>
      </c>
      <c r="M1" s="10" t="s">
        <v>41</v>
      </c>
      <c r="N1" s="8" t="s">
        <v>12</v>
      </c>
    </row>
    <row r="2" spans="1:14" x14ac:dyDescent="0.3">
      <c r="A2" s="7" t="s">
        <v>13</v>
      </c>
      <c r="B2" s="5">
        <v>79</v>
      </c>
      <c r="C2" s="5">
        <v>61</v>
      </c>
      <c r="D2" s="5">
        <v>93</v>
      </c>
      <c r="E2" s="5">
        <v>59</v>
      </c>
      <c r="F2" s="5">
        <v>49</v>
      </c>
      <c r="G2" s="5">
        <v>29</v>
      </c>
      <c r="H2" s="5">
        <v>69</v>
      </c>
      <c r="I2" s="5">
        <v>84</v>
      </c>
      <c r="J2" s="5">
        <v>83</v>
      </c>
      <c r="K2" s="5">
        <v>95</v>
      </c>
      <c r="L2" s="8">
        <v>105</v>
      </c>
      <c r="M2" s="8">
        <v>129</v>
      </c>
      <c r="N2" s="8">
        <f>M2+B2+C2+D2+E2+F2+G2+H2+I2+J2+K2+L2</f>
        <v>935</v>
      </c>
    </row>
    <row r="3" spans="1:14" x14ac:dyDescent="0.3">
      <c r="A3" s="7" t="s">
        <v>14</v>
      </c>
      <c r="B3" s="5">
        <v>78</v>
      </c>
      <c r="C3" s="5">
        <v>54</v>
      </c>
      <c r="D3" s="5">
        <v>64</v>
      </c>
      <c r="E3" s="5">
        <v>35</v>
      </c>
      <c r="F3" s="5">
        <v>31</v>
      </c>
      <c r="G3" s="5">
        <v>36</v>
      </c>
      <c r="H3" s="5">
        <v>66</v>
      </c>
      <c r="I3" s="5">
        <v>142</v>
      </c>
      <c r="J3" s="5">
        <v>97</v>
      </c>
      <c r="K3" s="5">
        <v>96</v>
      </c>
      <c r="L3" s="8">
        <v>106</v>
      </c>
      <c r="M3" s="8">
        <v>177</v>
      </c>
      <c r="N3" s="8">
        <f>M3+B3+C3+D3+E3+F3+G3+H3+I3+J3+K3+L3</f>
        <v>982</v>
      </c>
    </row>
    <row r="4" spans="1:14" x14ac:dyDescent="0.3">
      <c r="A4" s="7" t="s">
        <v>15</v>
      </c>
      <c r="B4" s="5">
        <v>12</v>
      </c>
      <c r="C4" s="5">
        <v>4</v>
      </c>
      <c r="D4" s="5">
        <v>12</v>
      </c>
      <c r="E4" s="5">
        <v>4</v>
      </c>
      <c r="F4" s="5">
        <v>6</v>
      </c>
      <c r="G4" s="5">
        <v>7</v>
      </c>
      <c r="H4" s="5">
        <v>8</v>
      </c>
      <c r="I4" s="5">
        <v>24</v>
      </c>
      <c r="J4" s="5">
        <v>16</v>
      </c>
      <c r="K4" s="5">
        <v>20</v>
      </c>
      <c r="L4" s="8">
        <v>15</v>
      </c>
      <c r="M4" s="8">
        <v>16</v>
      </c>
      <c r="N4" s="8">
        <f>M4+B4+C4+D4+E4+F4+G4+H4+I4+J4+K4+L4</f>
        <v>144</v>
      </c>
    </row>
    <row r="5" spans="1:14" x14ac:dyDescent="0.35">
      <c r="A5" s="7" t="s">
        <v>16</v>
      </c>
      <c r="B5" s="5">
        <f t="shared" ref="B5:M5" si="0">SUM(B2:B4)</f>
        <v>169</v>
      </c>
      <c r="C5" s="5">
        <f t="shared" si="0"/>
        <v>119</v>
      </c>
      <c r="D5" s="5">
        <f t="shared" si="0"/>
        <v>169</v>
      </c>
      <c r="E5" s="5">
        <f t="shared" si="0"/>
        <v>98</v>
      </c>
      <c r="F5" s="5">
        <f t="shared" si="0"/>
        <v>86</v>
      </c>
      <c r="G5" s="5">
        <f t="shared" si="0"/>
        <v>72</v>
      </c>
      <c r="H5" s="5">
        <f t="shared" si="0"/>
        <v>143</v>
      </c>
      <c r="I5" s="5">
        <f t="shared" si="0"/>
        <v>250</v>
      </c>
      <c r="J5" s="5">
        <f t="shared" si="0"/>
        <v>196</v>
      </c>
      <c r="K5" s="5">
        <f t="shared" si="0"/>
        <v>211</v>
      </c>
      <c r="L5" s="5">
        <f t="shared" si="0"/>
        <v>226</v>
      </c>
      <c r="M5" s="5">
        <f t="shared" si="0"/>
        <v>322</v>
      </c>
      <c r="N5" s="9">
        <f>SUM(N2:N4)</f>
        <v>2061</v>
      </c>
    </row>
    <row r="6" spans="1:14" x14ac:dyDescent="0.3">
      <c r="A6" s="7" t="s">
        <v>21</v>
      </c>
      <c r="B6" s="5">
        <v>4</v>
      </c>
      <c r="C6" s="5"/>
      <c r="D6" s="5"/>
      <c r="E6" s="5">
        <v>1</v>
      </c>
      <c r="F6" s="5">
        <v>1</v>
      </c>
      <c r="G6" s="5">
        <v>3</v>
      </c>
      <c r="H6" s="5"/>
      <c r="I6" s="5"/>
      <c r="J6" s="5"/>
      <c r="K6" s="5"/>
      <c r="L6" s="5"/>
      <c r="M6" s="5"/>
      <c r="N6" s="8">
        <f t="shared" ref="N6:N10" si="1">M6+B6+C6+D6+E6+F6+G6+H6+I6+J6+K6+L6</f>
        <v>9</v>
      </c>
    </row>
    <row r="7" spans="1:14" x14ac:dyDescent="0.3">
      <c r="A7" s="7" t="s">
        <v>22</v>
      </c>
      <c r="B7" s="5">
        <v>7</v>
      </c>
      <c r="C7" s="5"/>
      <c r="D7" s="5">
        <v>3</v>
      </c>
      <c r="E7" s="5">
        <v>3</v>
      </c>
      <c r="F7" s="5">
        <v>2</v>
      </c>
      <c r="G7" s="5">
        <v>3</v>
      </c>
      <c r="H7" s="5">
        <v>1</v>
      </c>
      <c r="I7" s="5">
        <v>3</v>
      </c>
      <c r="J7" s="5">
        <v>2</v>
      </c>
      <c r="K7" s="5">
        <v>5</v>
      </c>
      <c r="L7" s="5">
        <v>6</v>
      </c>
      <c r="M7" s="5">
        <v>40</v>
      </c>
      <c r="N7" s="8">
        <f t="shared" si="1"/>
        <v>75</v>
      </c>
    </row>
    <row r="8" spans="1:14" x14ac:dyDescent="0.3">
      <c r="A8" s="7" t="s">
        <v>23</v>
      </c>
      <c r="B8" s="5">
        <v>3</v>
      </c>
      <c r="C8" s="5">
        <v>3</v>
      </c>
      <c r="D8" s="5">
        <v>3</v>
      </c>
      <c r="E8" s="5">
        <v>7</v>
      </c>
      <c r="F8" s="5">
        <v>15</v>
      </c>
      <c r="G8" s="5">
        <v>14</v>
      </c>
      <c r="H8" s="5">
        <v>10</v>
      </c>
      <c r="I8" s="5">
        <v>12</v>
      </c>
      <c r="J8" s="5">
        <v>7</v>
      </c>
      <c r="K8" s="5">
        <v>14</v>
      </c>
      <c r="L8" s="5">
        <v>25</v>
      </c>
      <c r="M8" s="5">
        <v>55</v>
      </c>
      <c r="N8" s="8">
        <f t="shared" si="1"/>
        <v>168</v>
      </c>
    </row>
    <row r="9" spans="1:14" x14ac:dyDescent="0.3">
      <c r="A9" s="7" t="s">
        <v>25</v>
      </c>
      <c r="B9" s="5"/>
      <c r="C9" s="5"/>
      <c r="D9" s="5"/>
      <c r="E9" s="5"/>
      <c r="F9" s="5"/>
      <c r="G9" s="5"/>
      <c r="H9" s="5"/>
      <c r="I9" s="5"/>
      <c r="J9" s="5">
        <v>1</v>
      </c>
      <c r="K9" s="5"/>
      <c r="L9" s="5">
        <v>1</v>
      </c>
      <c r="M9" s="5"/>
      <c r="N9" s="8">
        <f t="shared" si="1"/>
        <v>2</v>
      </c>
    </row>
    <row r="10" spans="1:14" x14ac:dyDescent="0.3">
      <c r="A10" s="7" t="s">
        <v>26</v>
      </c>
      <c r="B10" s="5"/>
      <c r="C10" s="5"/>
      <c r="D10" s="5"/>
      <c r="E10" s="5"/>
      <c r="F10" s="5"/>
      <c r="G10" s="5">
        <v>25</v>
      </c>
      <c r="H10" s="5"/>
      <c r="I10" s="5"/>
      <c r="J10" s="5"/>
      <c r="K10" s="5"/>
      <c r="L10" s="5"/>
      <c r="M10" s="5"/>
      <c r="N10" s="8">
        <f t="shared" si="1"/>
        <v>25</v>
      </c>
    </row>
    <row r="11" spans="1:14" x14ac:dyDescent="0.3">
      <c r="A11" s="7" t="s">
        <v>28</v>
      </c>
      <c r="B11" s="5">
        <v>2</v>
      </c>
      <c r="C11" s="5">
        <v>0</v>
      </c>
      <c r="D11" s="5">
        <v>0</v>
      </c>
      <c r="E11" s="5">
        <v>0</v>
      </c>
      <c r="F11" s="5">
        <v>0</v>
      </c>
      <c r="G11" s="5"/>
      <c r="H11" s="5">
        <v>0</v>
      </c>
      <c r="I11" s="5">
        <v>0</v>
      </c>
      <c r="J11" s="5">
        <v>0</v>
      </c>
      <c r="K11" s="5"/>
      <c r="L11" s="3"/>
      <c r="M11" s="3"/>
      <c r="N11" s="8">
        <f>SUM(B11:M11)</f>
        <v>2</v>
      </c>
    </row>
    <row r="12" spans="1:14" x14ac:dyDescent="0.3">
      <c r="A12" s="7" t="s">
        <v>29</v>
      </c>
      <c r="B12" s="5"/>
      <c r="C12" s="5"/>
      <c r="D12" s="5"/>
      <c r="E12" s="5">
        <v>145</v>
      </c>
      <c r="F12" s="5">
        <v>182</v>
      </c>
      <c r="G12" s="5">
        <v>119</v>
      </c>
      <c r="H12" s="5">
        <v>192</v>
      </c>
      <c r="I12" s="5">
        <v>206</v>
      </c>
      <c r="J12" s="5">
        <v>182</v>
      </c>
      <c r="K12" s="5">
        <v>226</v>
      </c>
      <c r="L12" s="5">
        <v>243</v>
      </c>
      <c r="M12" s="5">
        <v>246</v>
      </c>
      <c r="N12" s="8">
        <f>M12+B12+C12+D12+E12+F12+G12+H12+I12+J12+K12+L12</f>
        <v>1741</v>
      </c>
    </row>
  </sheetData>
  <phoneticPr fontId="5" type="noConversion"/>
  <pageMargins left="0.70866141732283472" right="0.70866141732283472" top="1.5354330708661419" bottom="0.74803149606299213" header="0.51181102362204722" footer="0.31496062992125984"/>
  <pageSetup paperSize="9" scale="8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UIO</vt:lpstr>
      <vt:lpstr>SU</vt:lpstr>
      <vt:lpstr>2026</vt:lpstr>
      <vt:lpstr>2025</vt:lpstr>
      <vt:lpstr>2021</vt:lpstr>
      <vt:lpstr>2020</vt:lpstr>
      <vt:lpstr>2019</vt:lpstr>
      <vt:lpstr>2018</vt:lpstr>
      <vt:lpstr>2017</vt:lpstr>
      <vt:lpstr>2016</vt:lpstr>
      <vt:lpstr>2015</vt:lpstr>
      <vt:lpstr>2014</vt:lpstr>
      <vt:lpstr>2013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Saminda Madhusanka</dc:creator>
  <cp:lastModifiedBy>Saminda Madhusanka</cp:lastModifiedBy>
  <dcterms:created xsi:type="dcterms:W3CDTF">2026-02-20T10:56:32Z</dcterms:created>
  <dcterms:modified xsi:type="dcterms:W3CDTF">2026-03-13T11:28:31Z</dcterms:modified>
</cp:coreProperties>
</file>